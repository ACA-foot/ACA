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A00720ED-EA01-47E2-A8CA-E36D335A0BD2}" xr6:coauthVersionLast="47" xr6:coauthVersionMax="47" xr10:uidLastSave="{00000000-0000-0000-0000-000000000000}"/>
  <bookViews>
    <workbookView xWindow="28680" yWindow="-120" windowWidth="29040" windowHeight="15720" tabRatio="500" firstSheet="1" activeTab="9"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 name="Maillots"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P52" i="9"/>
  <c r="O52" i="9"/>
  <c r="N52" i="9"/>
  <c r="M52" i="9"/>
  <c r="L52" i="9"/>
  <c r="K52" i="9"/>
  <c r="J52" i="9"/>
  <c r="I52" i="9"/>
  <c r="H52" i="9"/>
  <c r="G52" i="9"/>
  <c r="F52" i="9"/>
  <c r="E52" i="9"/>
  <c r="D52" i="9"/>
  <c r="C52" i="9"/>
  <c r="B52" i="9"/>
  <c r="A52" i="9"/>
  <c r="W51" i="9"/>
  <c r="V51" i="9"/>
  <c r="U51" i="9"/>
  <c r="T51" i="9"/>
  <c r="S51" i="9"/>
  <c r="R51" i="9"/>
  <c r="Q51" i="9"/>
  <c r="P51" i="9"/>
  <c r="O51" i="9"/>
  <c r="N51" i="9"/>
  <c r="M51" i="9"/>
  <c r="L51" i="9"/>
  <c r="K51" i="9"/>
  <c r="J51" i="9"/>
  <c r="I51" i="9"/>
  <c r="H51" i="9"/>
  <c r="G51" i="9"/>
  <c r="F51" i="9"/>
  <c r="E51" i="9"/>
  <c r="D51" i="9"/>
  <c r="C51" i="9"/>
  <c r="B51" i="9"/>
  <c r="A51" i="9"/>
  <c r="W50" i="9"/>
  <c r="V50" i="9"/>
  <c r="U50" i="9"/>
  <c r="T50" i="9"/>
  <c r="S50" i="9"/>
  <c r="R50" i="9"/>
  <c r="Q50" i="9"/>
  <c r="P50" i="9"/>
  <c r="O50" i="9"/>
  <c r="N50" i="9"/>
  <c r="M50" i="9"/>
  <c r="L50" i="9"/>
  <c r="K50" i="9"/>
  <c r="J50" i="9"/>
  <c r="I50" i="9"/>
  <c r="H50" i="9"/>
  <c r="G50" i="9"/>
  <c r="F50" i="9"/>
  <c r="E50" i="9"/>
  <c r="D50" i="9"/>
  <c r="C50" i="9"/>
  <c r="B50" i="9"/>
  <c r="A50" i="9"/>
  <c r="W49" i="9"/>
  <c r="V49" i="9"/>
  <c r="U49" i="9"/>
  <c r="T49" i="9"/>
  <c r="S49" i="9"/>
  <c r="R49" i="9"/>
  <c r="Q49" i="9"/>
  <c r="P49" i="9"/>
  <c r="O49" i="9"/>
  <c r="N49" i="9"/>
  <c r="M49" i="9"/>
  <c r="L49" i="9"/>
  <c r="K49" i="9"/>
  <c r="J49" i="9"/>
  <c r="I49" i="9"/>
  <c r="H49" i="9"/>
  <c r="G49" i="9"/>
  <c r="F49" i="9"/>
  <c r="E49" i="9"/>
  <c r="D49" i="9"/>
  <c r="C49" i="9"/>
  <c r="B49" i="9"/>
  <c r="A49" i="9"/>
  <c r="W48" i="9"/>
  <c r="V48" i="9"/>
  <c r="U48" i="9"/>
  <c r="T48" i="9"/>
  <c r="S48" i="9"/>
  <c r="R48" i="9"/>
  <c r="Q48" i="9"/>
  <c r="P48" i="9"/>
  <c r="O48" i="9"/>
  <c r="N48" i="9"/>
  <c r="M48" i="9"/>
  <c r="L48" i="9"/>
  <c r="K48" i="9"/>
  <c r="J48" i="9"/>
  <c r="I48" i="9"/>
  <c r="H48" i="9"/>
  <c r="G48" i="9"/>
  <c r="F48" i="9"/>
  <c r="E48" i="9"/>
  <c r="D48" i="9"/>
  <c r="C48" i="9"/>
  <c r="B48" i="9"/>
  <c r="A48" i="9"/>
  <c r="W47" i="9"/>
  <c r="V47" i="9"/>
  <c r="U47" i="9"/>
  <c r="T47" i="9"/>
  <c r="S47" i="9"/>
  <c r="R47" i="9"/>
  <c r="Q47" i="9"/>
  <c r="P47" i="9"/>
  <c r="O47" i="9"/>
  <c r="N47" i="9"/>
  <c r="M47" i="9"/>
  <c r="L47" i="9"/>
  <c r="K47" i="9"/>
  <c r="J47" i="9"/>
  <c r="I47" i="9"/>
  <c r="H47" i="9"/>
  <c r="G47" i="9"/>
  <c r="F47" i="9"/>
  <c r="E47" i="9"/>
  <c r="D47" i="9"/>
  <c r="C47" i="9"/>
  <c r="B47" i="9"/>
  <c r="A47" i="9"/>
  <c r="W46" i="9"/>
  <c r="V46" i="9"/>
  <c r="U46" i="9"/>
  <c r="T46" i="9"/>
  <c r="S46" i="9"/>
  <c r="R46" i="9"/>
  <c r="Q46" i="9"/>
  <c r="P46" i="9"/>
  <c r="O46" i="9"/>
  <c r="N46" i="9"/>
  <c r="M46" i="9"/>
  <c r="L46" i="9"/>
  <c r="K46" i="9"/>
  <c r="J46" i="9"/>
  <c r="I46" i="9"/>
  <c r="H46" i="9"/>
  <c r="G46" i="9"/>
  <c r="F46" i="9"/>
  <c r="E46" i="9"/>
  <c r="D46" i="9"/>
  <c r="C46" i="9"/>
  <c r="B46" i="9"/>
  <c r="A46" i="9"/>
  <c r="W45" i="9"/>
  <c r="V45" i="9"/>
  <c r="U45" i="9"/>
  <c r="T45" i="9"/>
  <c r="S45" i="9"/>
  <c r="R45" i="9"/>
  <c r="Q45" i="9"/>
  <c r="P45" i="9"/>
  <c r="O45" i="9"/>
  <c r="N45" i="9"/>
  <c r="M45" i="9"/>
  <c r="L45" i="9"/>
  <c r="K45" i="9"/>
  <c r="J45" i="9"/>
  <c r="I45" i="9"/>
  <c r="H45" i="9"/>
  <c r="G45" i="9"/>
  <c r="F45" i="9"/>
  <c r="E45" i="9"/>
  <c r="D45" i="9"/>
  <c r="C45" i="9"/>
  <c r="B45" i="9"/>
  <c r="A45" i="9"/>
  <c r="W44" i="9"/>
  <c r="V44" i="9"/>
  <c r="U44" i="9"/>
  <c r="T44" i="9"/>
  <c r="S44" i="9"/>
  <c r="R44" i="9"/>
  <c r="Q44" i="9"/>
  <c r="P44" i="9"/>
  <c r="O44" i="9"/>
  <c r="N44" i="9"/>
  <c r="M44" i="9"/>
  <c r="L44" i="9"/>
  <c r="K44" i="9"/>
  <c r="J44" i="9"/>
  <c r="I44" i="9"/>
  <c r="H44" i="9"/>
  <c r="G44" i="9"/>
  <c r="F44" i="9"/>
  <c r="E44" i="9"/>
  <c r="D44" i="9"/>
  <c r="C44" i="9"/>
  <c r="B44" i="9"/>
  <c r="A44" i="9"/>
  <c r="W43" i="9"/>
  <c r="V43" i="9"/>
  <c r="U43" i="9"/>
  <c r="T43" i="9"/>
  <c r="S43" i="9"/>
  <c r="R43" i="9"/>
  <c r="Q43" i="9"/>
  <c r="P43" i="9"/>
  <c r="O43" i="9"/>
  <c r="N43" i="9"/>
  <c r="M43" i="9"/>
  <c r="L43" i="9"/>
  <c r="K43" i="9"/>
  <c r="J43" i="9"/>
  <c r="I43" i="9"/>
  <c r="H43" i="9"/>
  <c r="G43" i="9"/>
  <c r="F43" i="9"/>
  <c r="E43" i="9"/>
  <c r="D43" i="9"/>
  <c r="C43" i="9"/>
  <c r="B43" i="9"/>
  <c r="A43" i="9"/>
  <c r="W42" i="9"/>
  <c r="V42" i="9"/>
  <c r="U42" i="9"/>
  <c r="T42" i="9"/>
  <c r="S42" i="9"/>
  <c r="R42" i="9"/>
  <c r="Q42" i="9"/>
  <c r="P42" i="9"/>
  <c r="O42" i="9"/>
  <c r="N42" i="9"/>
  <c r="M42" i="9"/>
  <c r="L42" i="9"/>
  <c r="K42" i="9"/>
  <c r="J42" i="9"/>
  <c r="I42" i="9"/>
  <c r="H42" i="9"/>
  <c r="G42" i="9"/>
  <c r="F42" i="9"/>
  <c r="E42" i="9"/>
  <c r="D42" i="9"/>
  <c r="C42" i="9"/>
  <c r="B42" i="9"/>
  <c r="A42" i="9"/>
  <c r="W41" i="9"/>
  <c r="V41" i="9"/>
  <c r="U41" i="9"/>
  <c r="T41" i="9"/>
  <c r="S41" i="9"/>
  <c r="R41" i="9"/>
  <c r="Q41" i="9"/>
  <c r="P41" i="9"/>
  <c r="O41" i="9"/>
  <c r="N41" i="9"/>
  <c r="M41" i="9"/>
  <c r="L41" i="9"/>
  <c r="K41" i="9"/>
  <c r="J41" i="9"/>
  <c r="I41" i="9"/>
  <c r="H41" i="9"/>
  <c r="G41" i="9"/>
  <c r="F41" i="9"/>
  <c r="E41" i="9"/>
  <c r="D41" i="9"/>
  <c r="C41" i="9"/>
  <c r="B41" i="9"/>
  <c r="A41" i="9"/>
  <c r="W40" i="9"/>
  <c r="V40" i="9"/>
  <c r="U40" i="9"/>
  <c r="T40" i="9"/>
  <c r="S40" i="9"/>
  <c r="R40" i="9"/>
  <c r="Q40" i="9"/>
  <c r="P40" i="9"/>
  <c r="O40" i="9"/>
  <c r="N40" i="9"/>
  <c r="M40" i="9"/>
  <c r="L40" i="9"/>
  <c r="K40" i="9"/>
  <c r="J40" i="9"/>
  <c r="I40" i="9"/>
  <c r="H40" i="9"/>
  <c r="G40" i="9"/>
  <c r="F40" i="9"/>
  <c r="E40" i="9"/>
  <c r="D40" i="9"/>
  <c r="C40" i="9"/>
  <c r="B40" i="9"/>
  <c r="A40" i="9"/>
  <c r="W39" i="9"/>
  <c r="V39" i="9"/>
  <c r="U39" i="9"/>
  <c r="T39" i="9"/>
  <c r="S39" i="9"/>
  <c r="R39" i="9"/>
  <c r="Q39" i="9"/>
  <c r="P39" i="9"/>
  <c r="O39" i="9"/>
  <c r="N39" i="9"/>
  <c r="M39" i="9"/>
  <c r="L39" i="9"/>
  <c r="K39" i="9"/>
  <c r="J39" i="9"/>
  <c r="I39" i="9"/>
  <c r="H39" i="9"/>
  <c r="G39" i="9"/>
  <c r="F39" i="9"/>
  <c r="E39" i="9"/>
  <c r="D39" i="9"/>
  <c r="C39" i="9"/>
  <c r="B39" i="9"/>
  <c r="A39" i="9"/>
  <c r="W38" i="9"/>
  <c r="V38" i="9"/>
  <c r="U38" i="9"/>
  <c r="T38" i="9"/>
  <c r="S38" i="9"/>
  <c r="R38" i="9"/>
  <c r="Q38" i="9"/>
  <c r="P38" i="9"/>
  <c r="O38" i="9"/>
  <c r="N38" i="9"/>
  <c r="M38" i="9"/>
  <c r="L38" i="9"/>
  <c r="K38" i="9"/>
  <c r="J38" i="9"/>
  <c r="I38" i="9"/>
  <c r="H38" i="9"/>
  <c r="G38" i="9"/>
  <c r="F38" i="9"/>
  <c r="E38" i="9"/>
  <c r="D38" i="9"/>
  <c r="C38" i="9"/>
  <c r="B38" i="9"/>
  <c r="A38" i="9"/>
  <c r="W37" i="9"/>
  <c r="V37" i="9"/>
  <c r="U37" i="9"/>
  <c r="T37" i="9"/>
  <c r="S37" i="9"/>
  <c r="R37" i="9"/>
  <c r="Q37" i="9"/>
  <c r="P37" i="9"/>
  <c r="O37" i="9"/>
  <c r="N37" i="9"/>
  <c r="M37" i="9"/>
  <c r="L37" i="9"/>
  <c r="K37" i="9"/>
  <c r="J37" i="9"/>
  <c r="I37" i="9"/>
  <c r="H37" i="9"/>
  <c r="G37" i="9"/>
  <c r="F37" i="9"/>
  <c r="E37" i="9"/>
  <c r="D37" i="9"/>
  <c r="C37" i="9"/>
  <c r="B37" i="9"/>
  <c r="A37" i="9"/>
  <c r="W36" i="9"/>
  <c r="V36" i="9"/>
  <c r="U36" i="9"/>
  <c r="T36" i="9"/>
  <c r="S36" i="9"/>
  <c r="R36" i="9"/>
  <c r="Q36" i="9"/>
  <c r="P36" i="9"/>
  <c r="O36" i="9"/>
  <c r="N36" i="9"/>
  <c r="M36" i="9"/>
  <c r="L36" i="9"/>
  <c r="K36" i="9"/>
  <c r="J36" i="9"/>
  <c r="I36" i="9"/>
  <c r="H36" i="9"/>
  <c r="G36" i="9"/>
  <c r="F36" i="9"/>
  <c r="E36" i="9"/>
  <c r="D36" i="9"/>
  <c r="C36" i="9"/>
  <c r="B36" i="9"/>
  <c r="A36" i="9"/>
  <c r="W35" i="9"/>
  <c r="V35" i="9"/>
  <c r="U35" i="9"/>
  <c r="T35" i="9"/>
  <c r="S35" i="9"/>
  <c r="R35" i="9"/>
  <c r="Q35" i="9"/>
  <c r="P35" i="9"/>
  <c r="O35" i="9"/>
  <c r="N35" i="9"/>
  <c r="M35" i="9"/>
  <c r="L35" i="9"/>
  <c r="K35" i="9"/>
  <c r="J35" i="9"/>
  <c r="I35" i="9"/>
  <c r="H35" i="9"/>
  <c r="G35" i="9"/>
  <c r="F35" i="9"/>
  <c r="E35" i="9"/>
  <c r="D35" i="9"/>
  <c r="C35" i="9"/>
  <c r="B35" i="9"/>
  <c r="A35" i="9"/>
  <c r="W34" i="9"/>
  <c r="V34" i="9"/>
  <c r="U34" i="9"/>
  <c r="T34" i="9"/>
  <c r="S34" i="9"/>
  <c r="R34" i="9"/>
  <c r="Q34" i="9"/>
  <c r="P34" i="9"/>
  <c r="O34" i="9"/>
  <c r="N34" i="9"/>
  <c r="M34" i="9"/>
  <c r="L34" i="9"/>
  <c r="K34" i="9"/>
  <c r="J34" i="9"/>
  <c r="I34" i="9"/>
  <c r="H34" i="9"/>
  <c r="G34" i="9"/>
  <c r="F34" i="9"/>
  <c r="E34" i="9"/>
  <c r="D34" i="9"/>
  <c r="C34" i="9"/>
  <c r="B34" i="9"/>
  <c r="A34" i="9"/>
  <c r="W33" i="9"/>
  <c r="V33" i="9"/>
  <c r="U33" i="9"/>
  <c r="T33" i="9"/>
  <c r="S33" i="9"/>
  <c r="R33" i="9"/>
  <c r="Q33" i="9"/>
  <c r="P33" i="9"/>
  <c r="O33" i="9"/>
  <c r="N33" i="9"/>
  <c r="M33" i="9"/>
  <c r="L33" i="9"/>
  <c r="K33" i="9"/>
  <c r="J33" i="9"/>
  <c r="I33" i="9"/>
  <c r="H33" i="9"/>
  <c r="G33" i="9"/>
  <c r="F33" i="9"/>
  <c r="E33" i="9"/>
  <c r="D33" i="9"/>
  <c r="C33" i="9"/>
  <c r="B33" i="9"/>
  <c r="A33" i="9"/>
  <c r="W32" i="9"/>
  <c r="V32" i="9"/>
  <c r="U32" i="9"/>
  <c r="T32" i="9"/>
  <c r="S32" i="9"/>
  <c r="R32" i="9"/>
  <c r="Q32" i="9"/>
  <c r="P32" i="9"/>
  <c r="O32" i="9"/>
  <c r="N32" i="9"/>
  <c r="M32" i="9"/>
  <c r="L32" i="9"/>
  <c r="K32" i="9"/>
  <c r="J32" i="9"/>
  <c r="I32" i="9"/>
  <c r="H32" i="9"/>
  <c r="G32" i="9"/>
  <c r="F32" i="9"/>
  <c r="E32" i="9"/>
  <c r="D32" i="9"/>
  <c r="C32" i="9"/>
  <c r="B32" i="9"/>
  <c r="A32" i="9"/>
  <c r="W31" i="9"/>
  <c r="V31" i="9"/>
  <c r="U31" i="9"/>
  <c r="T31" i="9"/>
  <c r="S31" i="9"/>
  <c r="R31" i="9"/>
  <c r="Q31" i="9"/>
  <c r="P31" i="9"/>
  <c r="O31" i="9"/>
  <c r="N31" i="9"/>
  <c r="M31" i="9"/>
  <c r="L31" i="9"/>
  <c r="K31" i="9"/>
  <c r="J31" i="9"/>
  <c r="I31" i="9"/>
  <c r="H31" i="9"/>
  <c r="G31" i="9"/>
  <c r="F31" i="9"/>
  <c r="E31" i="9"/>
  <c r="D31" i="9"/>
  <c r="C31" i="9"/>
  <c r="B31" i="9"/>
  <c r="A31" i="9"/>
  <c r="W30" i="9"/>
  <c r="V30" i="9"/>
  <c r="U30" i="9"/>
  <c r="T30" i="9"/>
  <c r="S30" i="9"/>
  <c r="R30" i="9"/>
  <c r="Q30" i="9"/>
  <c r="P30" i="9"/>
  <c r="O30" i="9"/>
  <c r="N30" i="9"/>
  <c r="M30" i="9"/>
  <c r="L30" i="9"/>
  <c r="K30" i="9"/>
  <c r="J30" i="9"/>
  <c r="I30" i="9"/>
  <c r="H30" i="9"/>
  <c r="G30" i="9"/>
  <c r="F30" i="9"/>
  <c r="E30" i="9"/>
  <c r="D30" i="9"/>
  <c r="C30" i="9"/>
  <c r="B30" i="9"/>
  <c r="A30" i="9"/>
  <c r="W29" i="9"/>
  <c r="V29" i="9"/>
  <c r="U29" i="9"/>
  <c r="T29" i="9"/>
  <c r="S29" i="9"/>
  <c r="R29" i="9"/>
  <c r="Q29" i="9"/>
  <c r="P29" i="9"/>
  <c r="O29" i="9"/>
  <c r="N29" i="9"/>
  <c r="M29" i="9"/>
  <c r="L29" i="9"/>
  <c r="K29" i="9"/>
  <c r="J29" i="9"/>
  <c r="I29" i="9"/>
  <c r="H29" i="9"/>
  <c r="G29" i="9"/>
  <c r="F29" i="9"/>
  <c r="E29" i="9"/>
  <c r="D29" i="9"/>
  <c r="C29" i="9"/>
  <c r="B29" i="9"/>
  <c r="A29" i="9"/>
  <c r="W28" i="9"/>
  <c r="V28" i="9"/>
  <c r="U28" i="9"/>
  <c r="T28" i="9"/>
  <c r="S28" i="9"/>
  <c r="R28" i="9"/>
  <c r="Q28" i="9"/>
  <c r="P28" i="9"/>
  <c r="O28" i="9"/>
  <c r="N28" i="9"/>
  <c r="M28" i="9"/>
  <c r="L28" i="9"/>
  <c r="K28" i="9"/>
  <c r="J28" i="9"/>
  <c r="I28" i="9"/>
  <c r="H28" i="9"/>
  <c r="G28" i="9"/>
  <c r="F28" i="9"/>
  <c r="E28" i="9"/>
  <c r="D28" i="9"/>
  <c r="C28" i="9"/>
  <c r="B28" i="9"/>
  <c r="A28" i="9"/>
  <c r="W27" i="9"/>
  <c r="V27" i="9"/>
  <c r="U27" i="9"/>
  <c r="T27" i="9"/>
  <c r="S27" i="9"/>
  <c r="R27" i="9"/>
  <c r="Q27" i="9"/>
  <c r="P27" i="9"/>
  <c r="O27" i="9"/>
  <c r="N27" i="9"/>
  <c r="M27" i="9"/>
  <c r="L27" i="9"/>
  <c r="K27" i="9"/>
  <c r="J27" i="9"/>
  <c r="I27" i="9"/>
  <c r="H27" i="9"/>
  <c r="G27" i="9"/>
  <c r="F27" i="9"/>
  <c r="E27" i="9"/>
  <c r="D27" i="9"/>
  <c r="C27" i="9"/>
  <c r="B27" i="9"/>
  <c r="A27" i="9"/>
  <c r="W26" i="9"/>
  <c r="V26" i="9"/>
  <c r="U26" i="9"/>
  <c r="T26" i="9"/>
  <c r="S26" i="9"/>
  <c r="R26" i="9"/>
  <c r="Q26" i="9"/>
  <c r="P26" i="9"/>
  <c r="O26" i="9"/>
  <c r="N26" i="9"/>
  <c r="M26" i="9"/>
  <c r="L26" i="9"/>
  <c r="K26" i="9"/>
  <c r="J26" i="9"/>
  <c r="I26" i="9"/>
  <c r="H26" i="9"/>
  <c r="G26" i="9"/>
  <c r="F26" i="9"/>
  <c r="E26" i="9"/>
  <c r="D26" i="9"/>
  <c r="C26" i="9"/>
  <c r="B26" i="9"/>
  <c r="A26" i="9"/>
  <c r="W25" i="9"/>
  <c r="V25" i="9"/>
  <c r="U25" i="9"/>
  <c r="T25" i="9"/>
  <c r="S25" i="9"/>
  <c r="R25" i="9"/>
  <c r="Q25" i="9"/>
  <c r="P25" i="9"/>
  <c r="O25" i="9"/>
  <c r="N25" i="9"/>
  <c r="M25" i="9"/>
  <c r="L25" i="9"/>
  <c r="K25" i="9"/>
  <c r="J25" i="9"/>
  <c r="I25" i="9"/>
  <c r="H25" i="9"/>
  <c r="G25" i="9"/>
  <c r="F25" i="9"/>
  <c r="E25" i="9"/>
  <c r="D25" i="9"/>
  <c r="C25" i="9"/>
  <c r="B25" i="9"/>
  <c r="A25" i="9"/>
  <c r="W24" i="9"/>
  <c r="V24" i="9"/>
  <c r="U24" i="9"/>
  <c r="T24" i="9"/>
  <c r="S24" i="9"/>
  <c r="R24" i="9"/>
  <c r="Q24" i="9"/>
  <c r="P24" i="9"/>
  <c r="O24" i="9"/>
  <c r="N24" i="9"/>
  <c r="M24" i="9"/>
  <c r="L24" i="9"/>
  <c r="K24" i="9"/>
  <c r="J24" i="9"/>
  <c r="I24" i="9"/>
  <c r="H24" i="9"/>
  <c r="G24" i="9"/>
  <c r="F24" i="9"/>
  <c r="E24" i="9"/>
  <c r="D24" i="9"/>
  <c r="C24" i="9"/>
  <c r="B24" i="9"/>
  <c r="A24" i="9"/>
  <c r="W23" i="9"/>
  <c r="V23" i="9"/>
  <c r="U23" i="9"/>
  <c r="T23" i="9"/>
  <c r="S23" i="9"/>
  <c r="R23" i="9"/>
  <c r="Q23" i="9"/>
  <c r="P23" i="9"/>
  <c r="O23" i="9"/>
  <c r="N23" i="9"/>
  <c r="M23" i="9"/>
  <c r="L23" i="9"/>
  <c r="K23" i="9"/>
  <c r="J23" i="9"/>
  <c r="I23" i="9"/>
  <c r="H23" i="9"/>
  <c r="G23" i="9"/>
  <c r="F23" i="9"/>
  <c r="E23" i="9"/>
  <c r="D23" i="9"/>
  <c r="C23" i="9"/>
  <c r="B23" i="9"/>
  <c r="A23" i="9"/>
  <c r="W22" i="9"/>
  <c r="V22" i="9"/>
  <c r="U22" i="9"/>
  <c r="T22" i="9"/>
  <c r="S22" i="9"/>
  <c r="R22" i="9"/>
  <c r="Q22" i="9"/>
  <c r="P22" i="9"/>
  <c r="O22" i="9"/>
  <c r="N22" i="9"/>
  <c r="M22" i="9"/>
  <c r="L22" i="9"/>
  <c r="K22" i="9"/>
  <c r="J22" i="9"/>
  <c r="I22" i="9"/>
  <c r="H22" i="9"/>
  <c r="G22" i="9"/>
  <c r="F22" i="9"/>
  <c r="E22" i="9"/>
  <c r="D22" i="9"/>
  <c r="C22" i="9"/>
  <c r="B22" i="9"/>
  <c r="A22" i="9"/>
  <c r="W21" i="9"/>
  <c r="V21" i="9"/>
  <c r="U21" i="9"/>
  <c r="T21" i="9"/>
  <c r="S21" i="9"/>
  <c r="R21" i="9"/>
  <c r="Q21" i="9"/>
  <c r="P21" i="9"/>
  <c r="O21" i="9"/>
  <c r="N21" i="9"/>
  <c r="M21" i="9"/>
  <c r="L21" i="9"/>
  <c r="K21" i="9"/>
  <c r="J21" i="9"/>
  <c r="I21" i="9"/>
  <c r="H21" i="9"/>
  <c r="G21" i="9"/>
  <c r="F21" i="9"/>
  <c r="E21" i="9"/>
  <c r="D21" i="9"/>
  <c r="C21" i="9"/>
  <c r="B21" i="9"/>
  <c r="A21" i="9"/>
  <c r="W20" i="9"/>
  <c r="V20" i="9"/>
  <c r="U20" i="9"/>
  <c r="T20" i="9"/>
  <c r="S20" i="9"/>
  <c r="R20" i="9"/>
  <c r="Q20" i="9"/>
  <c r="P20" i="9"/>
  <c r="O20" i="9"/>
  <c r="N20" i="9"/>
  <c r="M20" i="9"/>
  <c r="L20" i="9"/>
  <c r="K20" i="9"/>
  <c r="J20" i="9"/>
  <c r="I20" i="9"/>
  <c r="H20" i="9"/>
  <c r="G20" i="9"/>
  <c r="F20" i="9"/>
  <c r="E20" i="9"/>
  <c r="D20" i="9"/>
  <c r="C20" i="9"/>
  <c r="B20" i="9"/>
  <c r="A20" i="9"/>
  <c r="W19" i="9"/>
  <c r="V19" i="9"/>
  <c r="U19" i="9"/>
  <c r="T19" i="9"/>
  <c r="S19" i="9"/>
  <c r="R19" i="9"/>
  <c r="Q19" i="9"/>
  <c r="P19" i="9"/>
  <c r="O19" i="9"/>
  <c r="N19" i="9"/>
  <c r="M19" i="9"/>
  <c r="L19" i="9"/>
  <c r="K19" i="9"/>
  <c r="J19" i="9"/>
  <c r="I19" i="9"/>
  <c r="H19" i="9"/>
  <c r="G19" i="9"/>
  <c r="F19" i="9"/>
  <c r="E19" i="9"/>
  <c r="D19" i="9"/>
  <c r="C19" i="9"/>
  <c r="B19" i="9"/>
  <c r="A19" i="9"/>
  <c r="W18" i="9"/>
  <c r="V18" i="9"/>
  <c r="U18" i="9"/>
  <c r="T18" i="9"/>
  <c r="S18" i="9"/>
  <c r="R18" i="9"/>
  <c r="Q18" i="9"/>
  <c r="P18" i="9"/>
  <c r="O18" i="9"/>
  <c r="N18" i="9"/>
  <c r="M18" i="9"/>
  <c r="L18" i="9"/>
  <c r="K18" i="9"/>
  <c r="J18" i="9"/>
  <c r="I18" i="9"/>
  <c r="H18" i="9"/>
  <c r="G18" i="9"/>
  <c r="F18" i="9"/>
  <c r="E18" i="9"/>
  <c r="D18" i="9"/>
  <c r="C18" i="9"/>
  <c r="B18" i="9"/>
  <c r="A18" i="9"/>
  <c r="W17" i="9"/>
  <c r="V17" i="9"/>
  <c r="U17" i="9"/>
  <c r="T17" i="9"/>
  <c r="S17" i="9"/>
  <c r="R17" i="9"/>
  <c r="Q17" i="9"/>
  <c r="P17" i="9"/>
  <c r="O17" i="9"/>
  <c r="N17" i="9"/>
  <c r="M17" i="9"/>
  <c r="L17" i="9"/>
  <c r="K17" i="9"/>
  <c r="J17" i="9"/>
  <c r="I17" i="9"/>
  <c r="H17" i="9"/>
  <c r="G17" i="9"/>
  <c r="F17" i="9"/>
  <c r="E17" i="9"/>
  <c r="D17" i="9"/>
  <c r="C17" i="9"/>
  <c r="B17" i="9"/>
  <c r="A17" i="9"/>
  <c r="W16" i="9"/>
  <c r="V16" i="9"/>
  <c r="U16" i="9"/>
  <c r="T16" i="9"/>
  <c r="S16" i="9"/>
  <c r="R16" i="9"/>
  <c r="Q16" i="9"/>
  <c r="P16" i="9"/>
  <c r="O16" i="9"/>
  <c r="N16" i="9"/>
  <c r="M16" i="9"/>
  <c r="L16" i="9"/>
  <c r="K16" i="9"/>
  <c r="J16" i="9"/>
  <c r="I16" i="9"/>
  <c r="H16" i="9"/>
  <c r="G16" i="9"/>
  <c r="F16" i="9"/>
  <c r="E16" i="9"/>
  <c r="D16" i="9"/>
  <c r="C16" i="9"/>
  <c r="B16" i="9"/>
  <c r="A16" i="9"/>
  <c r="W15" i="9"/>
  <c r="V15" i="9"/>
  <c r="U15" i="9"/>
  <c r="T15" i="9"/>
  <c r="S15" i="9"/>
  <c r="R15" i="9"/>
  <c r="Q15" i="9"/>
  <c r="P15" i="9"/>
  <c r="O15" i="9"/>
  <c r="N15" i="9"/>
  <c r="M15" i="9"/>
  <c r="L15" i="9"/>
  <c r="K15" i="9"/>
  <c r="J15" i="9"/>
  <c r="I15" i="9"/>
  <c r="H15" i="9"/>
  <c r="G15" i="9"/>
  <c r="F15" i="9"/>
  <c r="E15" i="9"/>
  <c r="D15" i="9"/>
  <c r="C15" i="9"/>
  <c r="B15" i="9"/>
  <c r="A15" i="9"/>
  <c r="W14" i="9"/>
  <c r="V14" i="9"/>
  <c r="U14" i="9"/>
  <c r="T14" i="9"/>
  <c r="S14" i="9"/>
  <c r="R14" i="9"/>
  <c r="Q14" i="9"/>
  <c r="P14" i="9"/>
  <c r="O14" i="9"/>
  <c r="N14" i="9"/>
  <c r="M14" i="9"/>
  <c r="L14" i="9"/>
  <c r="K14" i="9"/>
  <c r="J14" i="9"/>
  <c r="I14" i="9"/>
  <c r="H14" i="9"/>
  <c r="G14" i="9"/>
  <c r="F14" i="9"/>
  <c r="E14" i="9"/>
  <c r="D14" i="9"/>
  <c r="C14" i="9"/>
  <c r="B14" i="9"/>
  <c r="A14" i="9"/>
  <c r="W13" i="9"/>
  <c r="V13" i="9"/>
  <c r="U13" i="9"/>
  <c r="T13" i="9"/>
  <c r="S13" i="9"/>
  <c r="R13" i="9"/>
  <c r="Q13" i="9"/>
  <c r="P13" i="9"/>
  <c r="O13" i="9"/>
  <c r="N13" i="9"/>
  <c r="M13" i="9"/>
  <c r="L13" i="9"/>
  <c r="K13" i="9"/>
  <c r="J13" i="9"/>
  <c r="I13" i="9"/>
  <c r="H13" i="9"/>
  <c r="G13" i="9"/>
  <c r="F13" i="9"/>
  <c r="E13" i="9"/>
  <c r="D13" i="9"/>
  <c r="C13" i="9"/>
  <c r="B13" i="9"/>
  <c r="A13" i="9"/>
  <c r="W12" i="9"/>
  <c r="V12" i="9"/>
  <c r="U12" i="9"/>
  <c r="T12" i="9"/>
  <c r="S12" i="9"/>
  <c r="R12" i="9"/>
  <c r="Q12" i="9"/>
  <c r="P12" i="9"/>
  <c r="O12" i="9"/>
  <c r="N12" i="9"/>
  <c r="M12" i="9"/>
  <c r="L12" i="9"/>
  <c r="K12" i="9"/>
  <c r="J12" i="9"/>
  <c r="I12" i="9"/>
  <c r="H12" i="9"/>
  <c r="G12" i="9"/>
  <c r="F12" i="9"/>
  <c r="E12" i="9"/>
  <c r="D12" i="9"/>
  <c r="C12" i="9"/>
  <c r="B12" i="9"/>
  <c r="A12" i="9"/>
  <c r="W11" i="9"/>
  <c r="V11" i="9"/>
  <c r="U11" i="9"/>
  <c r="T11" i="9"/>
  <c r="S11" i="9"/>
  <c r="R11" i="9"/>
  <c r="Q11" i="9"/>
  <c r="P11" i="9"/>
  <c r="O11" i="9"/>
  <c r="N11" i="9"/>
  <c r="M11" i="9"/>
  <c r="L11" i="9"/>
  <c r="K11" i="9"/>
  <c r="J11" i="9"/>
  <c r="I11" i="9"/>
  <c r="H11" i="9"/>
  <c r="G11" i="9"/>
  <c r="F11" i="9"/>
  <c r="E11" i="9"/>
  <c r="D11" i="9"/>
  <c r="C11" i="9"/>
  <c r="B11" i="9"/>
  <c r="A11" i="9"/>
  <c r="W10" i="9"/>
  <c r="V10" i="9"/>
  <c r="U10" i="9"/>
  <c r="T10" i="9"/>
  <c r="S10" i="9"/>
  <c r="R10" i="9"/>
  <c r="Q10" i="9"/>
  <c r="P10" i="9"/>
  <c r="O10" i="9"/>
  <c r="N10" i="9"/>
  <c r="M10" i="9"/>
  <c r="L10" i="9"/>
  <c r="K10" i="9"/>
  <c r="J10" i="9"/>
  <c r="I10" i="9"/>
  <c r="H10" i="9"/>
  <c r="G10" i="9"/>
  <c r="F10" i="9"/>
  <c r="E10" i="9"/>
  <c r="D10" i="9"/>
  <c r="C10" i="9"/>
  <c r="B10" i="9"/>
  <c r="A10" i="9"/>
  <c r="W9" i="9"/>
  <c r="V9" i="9"/>
  <c r="U9" i="9"/>
  <c r="T9" i="9"/>
  <c r="S9" i="9"/>
  <c r="R9" i="9"/>
  <c r="Q9" i="9"/>
  <c r="P9" i="9"/>
  <c r="O9" i="9"/>
  <c r="N9" i="9"/>
  <c r="M9" i="9"/>
  <c r="L9" i="9"/>
  <c r="K9" i="9"/>
  <c r="J9" i="9"/>
  <c r="I9" i="9"/>
  <c r="H9" i="9"/>
  <c r="G9" i="9"/>
  <c r="F9" i="9"/>
  <c r="E9" i="9"/>
  <c r="D9" i="9"/>
  <c r="C9" i="9"/>
  <c r="B9" i="9"/>
  <c r="A9" i="9"/>
  <c r="W8" i="9"/>
  <c r="V8" i="9"/>
  <c r="U8" i="9"/>
  <c r="T8" i="9"/>
  <c r="S8" i="9"/>
  <c r="R8" i="9"/>
  <c r="Q8" i="9"/>
  <c r="P8" i="9"/>
  <c r="O8" i="9"/>
  <c r="N8" i="9"/>
  <c r="M8" i="9"/>
  <c r="L8" i="9"/>
  <c r="K8" i="9"/>
  <c r="J8" i="9"/>
  <c r="I8" i="9"/>
  <c r="H8" i="9"/>
  <c r="G8" i="9"/>
  <c r="F8" i="9"/>
  <c r="E8" i="9"/>
  <c r="D8" i="9"/>
  <c r="C8" i="9"/>
  <c r="B8" i="9"/>
  <c r="A8" i="9"/>
  <c r="W7" i="9"/>
  <c r="V7" i="9"/>
  <c r="U7" i="9"/>
  <c r="T7" i="9"/>
  <c r="S7" i="9"/>
  <c r="R7" i="9"/>
  <c r="Q7" i="9"/>
  <c r="P7" i="9"/>
  <c r="O7" i="9"/>
  <c r="N7" i="9"/>
  <c r="M7" i="9"/>
  <c r="L7" i="9"/>
  <c r="K7" i="9"/>
  <c r="J7" i="9"/>
  <c r="I7" i="9"/>
  <c r="H7" i="9"/>
  <c r="G7" i="9"/>
  <c r="F7" i="9"/>
  <c r="E7" i="9"/>
  <c r="D7" i="9"/>
  <c r="C7" i="9"/>
  <c r="B7" i="9"/>
  <c r="A7" i="9"/>
  <c r="W6" i="9"/>
  <c r="V6" i="9"/>
  <c r="U6" i="9"/>
  <c r="T6" i="9"/>
  <c r="S6" i="9"/>
  <c r="R6" i="9"/>
  <c r="Q6" i="9"/>
  <c r="P6" i="9"/>
  <c r="O6" i="9"/>
  <c r="N6" i="9"/>
  <c r="M6" i="9"/>
  <c r="L6" i="9"/>
  <c r="K6" i="9"/>
  <c r="J6" i="9"/>
  <c r="I6" i="9"/>
  <c r="H6" i="9"/>
  <c r="G6" i="9"/>
  <c r="F6" i="9"/>
  <c r="E6" i="9"/>
  <c r="D6" i="9"/>
  <c r="C6" i="9"/>
  <c r="B6" i="9"/>
  <c r="A6" i="9"/>
  <c r="W5" i="9"/>
  <c r="V5" i="9"/>
  <c r="U5" i="9"/>
  <c r="T5" i="9"/>
  <c r="S5" i="9"/>
  <c r="R5" i="9"/>
  <c r="Q5" i="9"/>
  <c r="P5" i="9"/>
  <c r="O5" i="9"/>
  <c r="N5" i="9"/>
  <c r="M5" i="9"/>
  <c r="L5" i="9"/>
  <c r="K5" i="9"/>
  <c r="J5" i="9"/>
  <c r="I5" i="9"/>
  <c r="H5" i="9"/>
  <c r="G5" i="9"/>
  <c r="F5" i="9"/>
  <c r="E5" i="9"/>
  <c r="D5" i="9"/>
  <c r="C5" i="9"/>
  <c r="B5" i="9"/>
  <c r="A5" i="9"/>
  <c r="Y2" i="9"/>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K31" i="3"/>
  <c r="J31" i="3"/>
  <c r="I31" i="3"/>
  <c r="H31" i="3"/>
  <c r="G31" i="3"/>
  <c r="A31" i="3"/>
  <c r="K30" i="3"/>
  <c r="J30" i="3"/>
  <c r="I30" i="3"/>
  <c r="H30" i="3"/>
  <c r="G30" i="3"/>
  <c r="A30" i="3"/>
  <c r="K29" i="3"/>
  <c r="J29" i="3"/>
  <c r="I29" i="3"/>
  <c r="H29" i="3"/>
  <c r="G29" i="3"/>
  <c r="A29" i="3"/>
  <c r="K28" i="3"/>
  <c r="J28" i="3"/>
  <c r="I28" i="3"/>
  <c r="H28" i="3"/>
  <c r="G28" i="3"/>
  <c r="A28" i="3"/>
  <c r="K27" i="3"/>
  <c r="J27" i="3"/>
  <c r="I27" i="3"/>
  <c r="H27" i="3"/>
  <c r="G27" i="3"/>
  <c r="A27" i="3"/>
  <c r="K26" i="3"/>
  <c r="J26" i="3"/>
  <c r="I26" i="3"/>
  <c r="H26" i="3"/>
  <c r="G26" i="3"/>
  <c r="A26" i="3"/>
  <c r="K25" i="3"/>
  <c r="J25" i="3"/>
  <c r="I25" i="3"/>
  <c r="H25" i="3"/>
  <c r="G25" i="3"/>
  <c r="A25" i="3"/>
  <c r="K24" i="3"/>
  <c r="J24" i="3"/>
  <c r="I24" i="3"/>
  <c r="H24" i="3"/>
  <c r="G24" i="3"/>
  <c r="A24" i="3"/>
  <c r="K23" i="3"/>
  <c r="J23" i="3"/>
  <c r="I23" i="3"/>
  <c r="H23" i="3"/>
  <c r="G23" i="3"/>
  <c r="A23" i="3"/>
  <c r="K22" i="3"/>
  <c r="J22" i="3"/>
  <c r="I22" i="3"/>
  <c r="H22" i="3"/>
  <c r="G22" i="3"/>
  <c r="A22" i="3"/>
  <c r="K21" i="3"/>
  <c r="J21" i="3"/>
  <c r="I21" i="3"/>
  <c r="H21" i="3"/>
  <c r="G21" i="3"/>
  <c r="A21" i="3"/>
  <c r="K20" i="3"/>
  <c r="J20" i="3"/>
  <c r="I20" i="3"/>
  <c r="H20" i="3"/>
  <c r="G20" i="3"/>
  <c r="A20" i="3"/>
  <c r="K19" i="3"/>
  <c r="J19" i="3"/>
  <c r="I19" i="3"/>
  <c r="H19" i="3"/>
  <c r="G19" i="3"/>
  <c r="A19" i="3"/>
  <c r="K18" i="3"/>
  <c r="J18" i="3"/>
  <c r="I18" i="3"/>
  <c r="H18" i="3"/>
  <c r="G18" i="3"/>
  <c r="A18" i="3"/>
  <c r="K17" i="3"/>
  <c r="J17" i="3"/>
  <c r="I17" i="3"/>
  <c r="H17" i="3"/>
  <c r="G17" i="3"/>
  <c r="A17" i="3"/>
  <c r="K16" i="3"/>
  <c r="J16" i="3"/>
  <c r="I16" i="3"/>
  <c r="H16" i="3"/>
  <c r="G16" i="3"/>
  <c r="A16" i="3"/>
  <c r="K15" i="3"/>
  <c r="J15" i="3"/>
  <c r="I15" i="3"/>
  <c r="H15" i="3"/>
  <c r="G15" i="3"/>
  <c r="A15" i="3"/>
  <c r="K14" i="3"/>
  <c r="J14" i="3"/>
  <c r="I14" i="3"/>
  <c r="H14" i="3"/>
  <c r="G14" i="3"/>
  <c r="A14" i="3"/>
  <c r="K13" i="3"/>
  <c r="J13" i="3"/>
  <c r="I13" i="3"/>
  <c r="H13" i="3"/>
  <c r="G13" i="3"/>
  <c r="A13" i="3"/>
  <c r="K12" i="3"/>
  <c r="J12" i="3"/>
  <c r="I12" i="3"/>
  <c r="H12" i="3"/>
  <c r="G12" i="3"/>
  <c r="A12" i="3"/>
  <c r="K11" i="3"/>
  <c r="J11" i="3"/>
  <c r="I11" i="3"/>
  <c r="H11" i="3"/>
  <c r="G11" i="3"/>
  <c r="A11" i="3"/>
  <c r="K10" i="3"/>
  <c r="J10" i="3"/>
  <c r="I10" i="3"/>
  <c r="H10" i="3"/>
  <c r="G10" i="3"/>
  <c r="A10" i="3"/>
  <c r="K9" i="3"/>
  <c r="J9" i="3"/>
  <c r="I9" i="3"/>
  <c r="H9" i="3"/>
  <c r="G9" i="3"/>
  <c r="A9" i="3"/>
  <c r="K8" i="3"/>
  <c r="J8" i="3"/>
  <c r="I8" i="3"/>
  <c r="H8" i="3"/>
  <c r="G8" i="3"/>
  <c r="A8" i="3"/>
  <c r="T7" i="3"/>
  <c r="S7" i="3"/>
  <c r="R7" i="3"/>
  <c r="Q7" i="3"/>
  <c r="P7" i="3"/>
  <c r="K7" i="3"/>
  <c r="J7" i="3"/>
  <c r="I7" i="3"/>
  <c r="H7" i="3"/>
  <c r="G7" i="3"/>
  <c r="A7" i="3"/>
  <c r="T6" i="3"/>
  <c r="S6" i="3"/>
  <c r="R6" i="3"/>
  <c r="Q6" i="3"/>
  <c r="P6" i="3"/>
  <c r="K6" i="3"/>
  <c r="J6" i="3"/>
  <c r="I6" i="3"/>
  <c r="H6" i="3"/>
  <c r="A6" i="3"/>
  <c r="T5" i="3"/>
  <c r="S5" i="3"/>
  <c r="R5" i="3"/>
  <c r="Q5" i="3"/>
  <c r="P5" i="3"/>
  <c r="K5" i="3"/>
  <c r="J5" i="3"/>
  <c r="I5" i="3"/>
  <c r="A5" i="3"/>
  <c r="T4" i="3"/>
  <c r="S4" i="3"/>
  <c r="R4" i="3"/>
  <c r="Q4" i="3"/>
  <c r="P4" i="3"/>
  <c r="K4" i="3"/>
  <c r="J4" i="3"/>
  <c r="I4" i="3"/>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Q675" i="8"/>
  <c r="P675" i="8"/>
  <c r="O675" i="8"/>
  <c r="N675" i="8"/>
  <c r="M675" i="8"/>
  <c r="L675" i="8"/>
  <c r="K675" i="8"/>
  <c r="J675" i="8"/>
  <c r="I675" i="8"/>
  <c r="H675" i="8"/>
  <c r="G675" i="8"/>
  <c r="F675" i="8"/>
  <c r="B675" i="8"/>
  <c r="A675" i="8"/>
  <c r="Q674" i="8"/>
  <c r="P674" i="8"/>
  <c r="O674" i="8"/>
  <c r="N674" i="8"/>
  <c r="M674" i="8"/>
  <c r="L674" i="8"/>
  <c r="K674" i="8"/>
  <c r="J674" i="8"/>
  <c r="I674" i="8"/>
  <c r="H674" i="8"/>
  <c r="G674" i="8"/>
  <c r="F674" i="8"/>
  <c r="A674" i="8"/>
  <c r="Q673" i="8"/>
  <c r="P673" i="8"/>
  <c r="O673" i="8"/>
  <c r="N673" i="8"/>
  <c r="M673" i="8"/>
  <c r="L673" i="8"/>
  <c r="K673" i="8"/>
  <c r="J673" i="8"/>
  <c r="I673" i="8"/>
  <c r="H673" i="8"/>
  <c r="G673" i="8"/>
  <c r="F673" i="8"/>
  <c r="A673" i="8"/>
  <c r="Q672" i="8"/>
  <c r="P672" i="8"/>
  <c r="O672" i="8"/>
  <c r="N672" i="8"/>
  <c r="M672" i="8"/>
  <c r="L672" i="8"/>
  <c r="K672" i="8"/>
  <c r="J672" i="8"/>
  <c r="I672" i="8"/>
  <c r="H672" i="8"/>
  <c r="G672" i="8"/>
  <c r="F672" i="8"/>
  <c r="A672" i="8"/>
  <c r="Q671" i="8"/>
  <c r="P671" i="8"/>
  <c r="O671" i="8"/>
  <c r="N671" i="8"/>
  <c r="M671" i="8"/>
  <c r="L671" i="8"/>
  <c r="K671" i="8"/>
  <c r="J671" i="8"/>
  <c r="I671" i="8"/>
  <c r="H671" i="8"/>
  <c r="G671" i="8"/>
  <c r="F671" i="8"/>
  <c r="A671" i="8"/>
  <c r="Q670" i="8"/>
  <c r="P670" i="8"/>
  <c r="O670" i="8"/>
  <c r="N670" i="8"/>
  <c r="M670" i="8"/>
  <c r="L670" i="8"/>
  <c r="K670" i="8"/>
  <c r="J670" i="8"/>
  <c r="I670" i="8"/>
  <c r="H670" i="8"/>
  <c r="G670" i="8"/>
  <c r="F670" i="8"/>
  <c r="B670" i="8"/>
  <c r="A670" i="8"/>
  <c r="Q669" i="8"/>
  <c r="P669" i="8"/>
  <c r="O669" i="8"/>
  <c r="N669" i="8"/>
  <c r="M669" i="8"/>
  <c r="L669" i="8"/>
  <c r="K669" i="8"/>
  <c r="J669" i="8"/>
  <c r="I669" i="8"/>
  <c r="H669" i="8"/>
  <c r="G669" i="8"/>
  <c r="F669" i="8"/>
  <c r="B669" i="8"/>
  <c r="A669" i="8"/>
  <c r="Q668" i="8"/>
  <c r="P668" i="8"/>
  <c r="O668" i="8"/>
  <c r="N668" i="8"/>
  <c r="M668" i="8"/>
  <c r="L668" i="8"/>
  <c r="K668" i="8"/>
  <c r="J668" i="8"/>
  <c r="I668" i="8"/>
  <c r="H668" i="8"/>
  <c r="G668" i="8"/>
  <c r="F668" i="8"/>
  <c r="B668" i="8"/>
  <c r="A668" i="8"/>
  <c r="Q667" i="8"/>
  <c r="P667" i="8"/>
  <c r="O667" i="8"/>
  <c r="N667" i="8"/>
  <c r="M667" i="8"/>
  <c r="L667" i="8"/>
  <c r="K667" i="8"/>
  <c r="J667" i="8"/>
  <c r="I667" i="8"/>
  <c r="H667" i="8"/>
  <c r="G667" i="8"/>
  <c r="F667" i="8"/>
  <c r="B667" i="8"/>
  <c r="A667" i="8"/>
  <c r="Q666" i="8"/>
  <c r="P666" i="8"/>
  <c r="O666" i="8"/>
  <c r="N666" i="8"/>
  <c r="M666" i="8"/>
  <c r="L666" i="8"/>
  <c r="K666" i="8"/>
  <c r="J666" i="8"/>
  <c r="I666" i="8"/>
  <c r="H666" i="8"/>
  <c r="G666" i="8"/>
  <c r="F666" i="8"/>
  <c r="B666" i="8"/>
  <c r="A666" i="8"/>
  <c r="Q665" i="8"/>
  <c r="P665" i="8"/>
  <c r="O665" i="8"/>
  <c r="N665" i="8"/>
  <c r="M665" i="8"/>
  <c r="L665" i="8"/>
  <c r="K665" i="8"/>
  <c r="J665" i="8"/>
  <c r="I665" i="8"/>
  <c r="H665" i="8"/>
  <c r="G665" i="8"/>
  <c r="F665" i="8"/>
  <c r="B665" i="8"/>
  <c r="A665" i="8"/>
  <c r="Q664" i="8"/>
  <c r="P664" i="8"/>
  <c r="O664" i="8"/>
  <c r="N664" i="8"/>
  <c r="M664" i="8"/>
  <c r="L664" i="8"/>
  <c r="K664" i="8"/>
  <c r="J664" i="8"/>
  <c r="I664" i="8"/>
  <c r="H664" i="8"/>
  <c r="G664" i="8"/>
  <c r="F664" i="8"/>
  <c r="B664" i="8"/>
  <c r="A664" i="8"/>
  <c r="Q663" i="8"/>
  <c r="P663" i="8"/>
  <c r="O663" i="8"/>
  <c r="N663" i="8"/>
  <c r="M663" i="8"/>
  <c r="L663" i="8"/>
  <c r="K663" i="8"/>
  <c r="J663" i="8"/>
  <c r="I663" i="8"/>
  <c r="H663" i="8"/>
  <c r="G663" i="8"/>
  <c r="F663" i="8"/>
  <c r="B663" i="8"/>
  <c r="A663" i="8"/>
  <c r="Q662" i="8"/>
  <c r="P662" i="8"/>
  <c r="O662" i="8"/>
  <c r="N662" i="8"/>
  <c r="M662" i="8"/>
  <c r="L662" i="8"/>
  <c r="K662" i="8"/>
  <c r="J662" i="8"/>
  <c r="I662" i="8"/>
  <c r="H662" i="8"/>
  <c r="G662" i="8"/>
  <c r="F662" i="8"/>
  <c r="B662" i="8"/>
  <c r="A662" i="8"/>
  <c r="Q661" i="8"/>
  <c r="P661" i="8"/>
  <c r="O661" i="8"/>
  <c r="N661" i="8"/>
  <c r="M661" i="8"/>
  <c r="L661" i="8"/>
  <c r="K661" i="8"/>
  <c r="J661" i="8"/>
  <c r="I661" i="8"/>
  <c r="H661" i="8"/>
  <c r="G661" i="8"/>
  <c r="F661" i="8"/>
  <c r="B661" i="8"/>
  <c r="A661" i="8"/>
  <c r="Q660" i="8"/>
  <c r="P660" i="8"/>
  <c r="O660" i="8"/>
  <c r="N660" i="8"/>
  <c r="M660" i="8"/>
  <c r="L660" i="8"/>
  <c r="K660" i="8"/>
  <c r="J660" i="8"/>
  <c r="I660" i="8"/>
  <c r="H660" i="8"/>
  <c r="G660" i="8"/>
  <c r="F660" i="8"/>
  <c r="B660" i="8"/>
  <c r="A660" i="8"/>
  <c r="Q659" i="8"/>
  <c r="P659" i="8"/>
  <c r="O659" i="8"/>
  <c r="N659" i="8"/>
  <c r="M659" i="8"/>
  <c r="L659" i="8"/>
  <c r="K659" i="8"/>
  <c r="J659" i="8"/>
  <c r="I659" i="8"/>
  <c r="H659" i="8"/>
  <c r="G659" i="8"/>
  <c r="F659" i="8"/>
  <c r="B659" i="8"/>
  <c r="A659" i="8"/>
  <c r="Q658" i="8"/>
  <c r="P658" i="8"/>
  <c r="O658" i="8"/>
  <c r="N658" i="8"/>
  <c r="M658" i="8"/>
  <c r="L658" i="8"/>
  <c r="K658" i="8"/>
  <c r="J658" i="8"/>
  <c r="I658" i="8"/>
  <c r="H658" i="8"/>
  <c r="G658" i="8"/>
  <c r="F658" i="8"/>
  <c r="B658" i="8"/>
  <c r="A658" i="8"/>
  <c r="Q657" i="8"/>
  <c r="P657" i="8"/>
  <c r="O657" i="8"/>
  <c r="N657" i="8"/>
  <c r="M657" i="8"/>
  <c r="L657" i="8"/>
  <c r="K657" i="8"/>
  <c r="J657" i="8"/>
  <c r="I657" i="8"/>
  <c r="H657" i="8"/>
  <c r="G657" i="8"/>
  <c r="F657" i="8"/>
  <c r="B657" i="8"/>
  <c r="A657" i="8"/>
  <c r="Q656" i="8"/>
  <c r="P656" i="8"/>
  <c r="O656" i="8"/>
  <c r="N656" i="8"/>
  <c r="M656" i="8"/>
  <c r="L656" i="8"/>
  <c r="K656" i="8"/>
  <c r="J656" i="8"/>
  <c r="I656" i="8"/>
  <c r="H656" i="8"/>
  <c r="G656" i="8"/>
  <c r="F656" i="8"/>
  <c r="B656" i="8"/>
  <c r="A656" i="8"/>
  <c r="Q655" i="8"/>
  <c r="P655" i="8"/>
  <c r="O655" i="8"/>
  <c r="N655" i="8"/>
  <c r="M655" i="8"/>
  <c r="L655" i="8"/>
  <c r="K655" i="8"/>
  <c r="J655" i="8"/>
  <c r="I655" i="8"/>
  <c r="H655" i="8"/>
  <c r="G655" i="8"/>
  <c r="F655" i="8"/>
  <c r="B655" i="8"/>
  <c r="A655" i="8"/>
  <c r="Q654" i="8"/>
  <c r="P654" i="8"/>
  <c r="O654" i="8"/>
  <c r="N654" i="8"/>
  <c r="M654" i="8"/>
  <c r="L654" i="8"/>
  <c r="K654" i="8"/>
  <c r="J654" i="8"/>
  <c r="I654" i="8"/>
  <c r="H654" i="8"/>
  <c r="G654" i="8"/>
  <c r="F654" i="8"/>
  <c r="B654" i="8"/>
  <c r="A654" i="8"/>
  <c r="Q653" i="8"/>
  <c r="P653" i="8"/>
  <c r="O653" i="8"/>
  <c r="N653" i="8"/>
  <c r="M653" i="8"/>
  <c r="L653" i="8"/>
  <c r="K653" i="8"/>
  <c r="J653" i="8"/>
  <c r="I653" i="8"/>
  <c r="H653" i="8"/>
  <c r="G653" i="8"/>
  <c r="F653" i="8"/>
  <c r="B653" i="8"/>
  <c r="A653" i="8"/>
  <c r="Q652" i="8"/>
  <c r="P652" i="8"/>
  <c r="O652" i="8"/>
  <c r="N652" i="8"/>
  <c r="M652" i="8"/>
  <c r="L652" i="8"/>
  <c r="K652" i="8"/>
  <c r="J652" i="8"/>
  <c r="I652" i="8"/>
  <c r="H652" i="8"/>
  <c r="G652" i="8"/>
  <c r="F652" i="8"/>
  <c r="B652" i="8"/>
  <c r="A652" i="8"/>
  <c r="Q651" i="8"/>
  <c r="P651" i="8"/>
  <c r="O651" i="8"/>
  <c r="N651" i="8"/>
  <c r="M651" i="8"/>
  <c r="L651" i="8"/>
  <c r="K651" i="8"/>
  <c r="J651" i="8"/>
  <c r="I651" i="8"/>
  <c r="H651" i="8"/>
  <c r="G651" i="8"/>
  <c r="F651" i="8"/>
  <c r="B651" i="8"/>
  <c r="A651" i="8"/>
  <c r="Q650" i="8"/>
  <c r="P650" i="8"/>
  <c r="O650" i="8"/>
  <c r="N650" i="8"/>
  <c r="M650" i="8"/>
  <c r="L650" i="8"/>
  <c r="K650" i="8"/>
  <c r="J650" i="8"/>
  <c r="I650" i="8"/>
  <c r="H650" i="8"/>
  <c r="G650" i="8"/>
  <c r="F650" i="8"/>
  <c r="A650" i="8"/>
  <c r="Q649" i="8"/>
  <c r="P649" i="8"/>
  <c r="O649" i="8"/>
  <c r="N649" i="8"/>
  <c r="M649" i="8"/>
  <c r="L649" i="8"/>
  <c r="K649" i="8"/>
  <c r="J649" i="8"/>
  <c r="I649" i="8"/>
  <c r="H649" i="8"/>
  <c r="G649" i="8"/>
  <c r="F649" i="8"/>
  <c r="A649" i="8"/>
  <c r="Q648" i="8"/>
  <c r="P648" i="8"/>
  <c r="O648" i="8"/>
  <c r="N648" i="8"/>
  <c r="M648" i="8"/>
  <c r="L648" i="8"/>
  <c r="K648" i="8"/>
  <c r="J648" i="8"/>
  <c r="I648" i="8"/>
  <c r="H648" i="8"/>
  <c r="G648" i="8"/>
  <c r="F648" i="8"/>
  <c r="A648" i="8"/>
  <c r="Q647" i="8"/>
  <c r="P647" i="8"/>
  <c r="O647" i="8"/>
  <c r="N647" i="8"/>
  <c r="M647" i="8"/>
  <c r="L647" i="8"/>
  <c r="K647" i="8"/>
  <c r="J647" i="8"/>
  <c r="I647" i="8"/>
  <c r="H647" i="8"/>
  <c r="G647" i="8"/>
  <c r="F647" i="8"/>
  <c r="A647" i="8"/>
  <c r="Q646" i="8"/>
  <c r="P646" i="8"/>
  <c r="O646" i="8"/>
  <c r="N646" i="8"/>
  <c r="M646" i="8"/>
  <c r="L646" i="8"/>
  <c r="K646" i="8"/>
  <c r="J646" i="8"/>
  <c r="I646" i="8"/>
  <c r="H646" i="8"/>
  <c r="G646" i="8"/>
  <c r="F646" i="8"/>
  <c r="B646" i="8"/>
  <c r="A646" i="8"/>
  <c r="Q645" i="8"/>
  <c r="P645" i="8"/>
  <c r="O645" i="8"/>
  <c r="N645" i="8"/>
  <c r="M645" i="8"/>
  <c r="L645" i="8"/>
  <c r="K645" i="8"/>
  <c r="J645" i="8"/>
  <c r="I645" i="8"/>
  <c r="H645" i="8"/>
  <c r="G645" i="8"/>
  <c r="F645" i="8"/>
  <c r="B645" i="8"/>
  <c r="A645" i="8"/>
  <c r="Q644" i="8"/>
  <c r="P644" i="8"/>
  <c r="O644" i="8"/>
  <c r="N644" i="8"/>
  <c r="M644" i="8"/>
  <c r="L644" i="8"/>
  <c r="K644" i="8"/>
  <c r="J644" i="8"/>
  <c r="I644" i="8"/>
  <c r="H644" i="8"/>
  <c r="G644" i="8"/>
  <c r="F644" i="8"/>
  <c r="B644" i="8"/>
  <c r="A644" i="8"/>
  <c r="Q643" i="8"/>
  <c r="P643" i="8"/>
  <c r="O643" i="8"/>
  <c r="N643" i="8"/>
  <c r="M643" i="8"/>
  <c r="L643" i="8"/>
  <c r="K643" i="8"/>
  <c r="J643" i="8"/>
  <c r="I643" i="8"/>
  <c r="H643" i="8"/>
  <c r="G643" i="8"/>
  <c r="F643" i="8"/>
  <c r="B643" i="8"/>
  <c r="A643" i="8"/>
  <c r="Q642" i="8"/>
  <c r="P642" i="8"/>
  <c r="O642" i="8"/>
  <c r="N642" i="8"/>
  <c r="M642" i="8"/>
  <c r="L642" i="8"/>
  <c r="K642" i="8"/>
  <c r="J642" i="8"/>
  <c r="I642" i="8"/>
  <c r="H642" i="8"/>
  <c r="G642" i="8"/>
  <c r="F642" i="8"/>
  <c r="B642" i="8"/>
  <c r="A642" i="8"/>
  <c r="Q641" i="8"/>
  <c r="P641" i="8"/>
  <c r="O641" i="8"/>
  <c r="N641" i="8"/>
  <c r="M641" i="8"/>
  <c r="L641" i="8"/>
  <c r="K641" i="8"/>
  <c r="J641" i="8"/>
  <c r="I641" i="8"/>
  <c r="H641" i="8"/>
  <c r="G641" i="8"/>
  <c r="F641" i="8"/>
  <c r="B641" i="8"/>
  <c r="A641" i="8"/>
  <c r="Q640" i="8"/>
  <c r="P640" i="8"/>
  <c r="O640" i="8"/>
  <c r="N640" i="8"/>
  <c r="M640" i="8"/>
  <c r="L640" i="8"/>
  <c r="K640" i="8"/>
  <c r="J640" i="8"/>
  <c r="I640" i="8"/>
  <c r="H640" i="8"/>
  <c r="G640" i="8"/>
  <c r="F640" i="8"/>
  <c r="B640" i="8"/>
  <c r="A640" i="8"/>
  <c r="Q639" i="8"/>
  <c r="P639" i="8"/>
  <c r="O639" i="8"/>
  <c r="N639" i="8"/>
  <c r="M639" i="8"/>
  <c r="L639" i="8"/>
  <c r="K639" i="8"/>
  <c r="J639" i="8"/>
  <c r="I639" i="8"/>
  <c r="H639" i="8"/>
  <c r="G639" i="8"/>
  <c r="F639" i="8"/>
  <c r="B639" i="8"/>
  <c r="A639" i="8"/>
  <c r="Q638" i="8"/>
  <c r="P638" i="8"/>
  <c r="O638" i="8"/>
  <c r="N638" i="8"/>
  <c r="M638" i="8"/>
  <c r="L638" i="8"/>
  <c r="K638" i="8"/>
  <c r="J638" i="8"/>
  <c r="I638" i="8"/>
  <c r="H638" i="8"/>
  <c r="G638" i="8"/>
  <c r="F638" i="8"/>
  <c r="B638" i="8"/>
  <c r="A638" i="8"/>
  <c r="Q637" i="8"/>
  <c r="P637" i="8"/>
  <c r="O637" i="8"/>
  <c r="N637" i="8"/>
  <c r="M637" i="8"/>
  <c r="L637" i="8"/>
  <c r="K637" i="8"/>
  <c r="J637" i="8"/>
  <c r="I637" i="8"/>
  <c r="H637" i="8"/>
  <c r="G637" i="8"/>
  <c r="F637" i="8"/>
  <c r="B637" i="8"/>
  <c r="A637" i="8"/>
  <c r="Q636" i="8"/>
  <c r="P636" i="8"/>
  <c r="O636" i="8"/>
  <c r="N636" i="8"/>
  <c r="M636" i="8"/>
  <c r="L636" i="8"/>
  <c r="K636" i="8"/>
  <c r="J636" i="8"/>
  <c r="I636" i="8"/>
  <c r="H636" i="8"/>
  <c r="G636" i="8"/>
  <c r="F636" i="8"/>
  <c r="B636" i="8"/>
  <c r="A636" i="8"/>
  <c r="Q635" i="8"/>
  <c r="P635" i="8"/>
  <c r="O635" i="8"/>
  <c r="N635" i="8"/>
  <c r="M635" i="8"/>
  <c r="L635" i="8"/>
  <c r="K635" i="8"/>
  <c r="J635" i="8"/>
  <c r="I635" i="8"/>
  <c r="H635" i="8"/>
  <c r="G635" i="8"/>
  <c r="F635" i="8"/>
  <c r="B635" i="8"/>
  <c r="A635" i="8"/>
  <c r="Q634" i="8"/>
  <c r="P634" i="8"/>
  <c r="O634" i="8"/>
  <c r="N634" i="8"/>
  <c r="M634" i="8"/>
  <c r="L634" i="8"/>
  <c r="K634" i="8"/>
  <c r="J634" i="8"/>
  <c r="I634" i="8"/>
  <c r="H634" i="8"/>
  <c r="G634" i="8"/>
  <c r="F634" i="8"/>
  <c r="B634" i="8"/>
  <c r="A634" i="8"/>
  <c r="Q633" i="8"/>
  <c r="P633" i="8"/>
  <c r="O633" i="8"/>
  <c r="N633" i="8"/>
  <c r="M633" i="8"/>
  <c r="L633" i="8"/>
  <c r="K633" i="8"/>
  <c r="J633" i="8"/>
  <c r="I633" i="8"/>
  <c r="H633" i="8"/>
  <c r="G633" i="8"/>
  <c r="F633" i="8"/>
  <c r="B633" i="8"/>
  <c r="A633" i="8"/>
  <c r="Q632" i="8"/>
  <c r="P632" i="8"/>
  <c r="O632" i="8"/>
  <c r="N632" i="8"/>
  <c r="M632" i="8"/>
  <c r="L632" i="8"/>
  <c r="K632" i="8"/>
  <c r="J632" i="8"/>
  <c r="I632" i="8"/>
  <c r="H632" i="8"/>
  <c r="G632" i="8"/>
  <c r="F632" i="8"/>
  <c r="B632" i="8"/>
  <c r="A632" i="8"/>
  <c r="Q631" i="8"/>
  <c r="P631" i="8"/>
  <c r="O631" i="8"/>
  <c r="N631" i="8"/>
  <c r="M631" i="8"/>
  <c r="L631" i="8"/>
  <c r="K631" i="8"/>
  <c r="J631" i="8"/>
  <c r="I631" i="8"/>
  <c r="H631" i="8"/>
  <c r="G631" i="8"/>
  <c r="F631" i="8"/>
  <c r="B631" i="8"/>
  <c r="A631" i="8"/>
  <c r="Q630" i="8"/>
  <c r="P630" i="8"/>
  <c r="O630" i="8"/>
  <c r="N630" i="8"/>
  <c r="M630" i="8"/>
  <c r="L630" i="8"/>
  <c r="K630" i="8"/>
  <c r="J630" i="8"/>
  <c r="I630" i="8"/>
  <c r="H630" i="8"/>
  <c r="G630" i="8"/>
  <c r="F630" i="8"/>
  <c r="B630" i="8"/>
  <c r="A630" i="8"/>
  <c r="Q629" i="8"/>
  <c r="P629" i="8"/>
  <c r="O629" i="8"/>
  <c r="N629" i="8"/>
  <c r="M629" i="8"/>
  <c r="L629" i="8"/>
  <c r="K629" i="8"/>
  <c r="J629" i="8"/>
  <c r="I629" i="8"/>
  <c r="H629" i="8"/>
  <c r="G629" i="8"/>
  <c r="F629" i="8"/>
  <c r="B629" i="8"/>
  <c r="A629" i="8"/>
  <c r="Q628" i="8"/>
  <c r="P628" i="8"/>
  <c r="O628" i="8"/>
  <c r="N628" i="8"/>
  <c r="M628" i="8"/>
  <c r="L628" i="8"/>
  <c r="K628" i="8"/>
  <c r="J628" i="8"/>
  <c r="I628" i="8"/>
  <c r="H628" i="8"/>
  <c r="G628" i="8"/>
  <c r="F628" i="8"/>
  <c r="B628" i="8"/>
  <c r="A628" i="8"/>
  <c r="Q627" i="8"/>
  <c r="P627" i="8"/>
  <c r="O627" i="8"/>
  <c r="N627" i="8"/>
  <c r="M627" i="8"/>
  <c r="L627" i="8"/>
  <c r="K627" i="8"/>
  <c r="J627" i="8"/>
  <c r="I627" i="8"/>
  <c r="H627" i="8"/>
  <c r="G627" i="8"/>
  <c r="F627" i="8"/>
  <c r="B627" i="8"/>
  <c r="A627" i="8"/>
  <c r="Q626" i="8"/>
  <c r="P626" i="8"/>
  <c r="O626" i="8"/>
  <c r="N626" i="8"/>
  <c r="M626" i="8"/>
  <c r="L626" i="8"/>
  <c r="K626" i="8"/>
  <c r="J626" i="8"/>
  <c r="I626" i="8"/>
  <c r="H626" i="8"/>
  <c r="G626" i="8"/>
  <c r="F626" i="8"/>
  <c r="A626" i="8"/>
  <c r="Q625" i="8"/>
  <c r="P625" i="8"/>
  <c r="O625" i="8"/>
  <c r="N625" i="8"/>
  <c r="M625" i="8"/>
  <c r="L625" i="8"/>
  <c r="K625" i="8"/>
  <c r="J625" i="8"/>
  <c r="I625" i="8"/>
  <c r="H625" i="8"/>
  <c r="G625" i="8"/>
  <c r="F625" i="8"/>
  <c r="A625" i="8"/>
  <c r="Q624" i="8"/>
  <c r="P624" i="8"/>
  <c r="O624" i="8"/>
  <c r="N624" i="8"/>
  <c r="M624" i="8"/>
  <c r="L624" i="8"/>
  <c r="K624" i="8"/>
  <c r="J624" i="8"/>
  <c r="I624" i="8"/>
  <c r="H624" i="8"/>
  <c r="G624" i="8"/>
  <c r="F624" i="8"/>
  <c r="A624" i="8"/>
  <c r="Q623" i="8"/>
  <c r="P623" i="8"/>
  <c r="O623" i="8"/>
  <c r="N623" i="8"/>
  <c r="M623" i="8"/>
  <c r="L623" i="8"/>
  <c r="K623" i="8"/>
  <c r="J623" i="8"/>
  <c r="I623" i="8"/>
  <c r="H623" i="8"/>
  <c r="G623" i="8"/>
  <c r="F623" i="8"/>
  <c r="A623" i="8"/>
  <c r="Q622" i="8"/>
  <c r="P622" i="8"/>
  <c r="O622" i="8"/>
  <c r="N622" i="8"/>
  <c r="M622" i="8"/>
  <c r="L622" i="8"/>
  <c r="K622" i="8"/>
  <c r="J622" i="8"/>
  <c r="I622" i="8"/>
  <c r="H622" i="8"/>
  <c r="G622" i="8"/>
  <c r="F622" i="8"/>
  <c r="B622" i="8"/>
  <c r="A622" i="8"/>
  <c r="Q621" i="8"/>
  <c r="P621" i="8"/>
  <c r="O621" i="8"/>
  <c r="N621" i="8"/>
  <c r="M621" i="8"/>
  <c r="L621" i="8"/>
  <c r="K621" i="8"/>
  <c r="J621" i="8"/>
  <c r="I621" i="8"/>
  <c r="H621" i="8"/>
  <c r="G621" i="8"/>
  <c r="F621" i="8"/>
  <c r="B621" i="8"/>
  <c r="A621" i="8"/>
  <c r="Q620" i="8"/>
  <c r="P620" i="8"/>
  <c r="O620" i="8"/>
  <c r="N620" i="8"/>
  <c r="M620" i="8"/>
  <c r="L620" i="8"/>
  <c r="K620" i="8"/>
  <c r="J620" i="8"/>
  <c r="I620" i="8"/>
  <c r="H620" i="8"/>
  <c r="G620" i="8"/>
  <c r="F620" i="8"/>
  <c r="B620" i="8"/>
  <c r="A620" i="8"/>
  <c r="Q619" i="8"/>
  <c r="P619" i="8"/>
  <c r="O619" i="8"/>
  <c r="N619" i="8"/>
  <c r="M619" i="8"/>
  <c r="L619" i="8"/>
  <c r="K619" i="8"/>
  <c r="J619" i="8"/>
  <c r="I619" i="8"/>
  <c r="H619" i="8"/>
  <c r="G619" i="8"/>
  <c r="F619" i="8"/>
  <c r="B619" i="8"/>
  <c r="A619" i="8"/>
  <c r="Q618" i="8"/>
  <c r="P618" i="8"/>
  <c r="O618" i="8"/>
  <c r="N618" i="8"/>
  <c r="M618" i="8"/>
  <c r="L618" i="8"/>
  <c r="K618" i="8"/>
  <c r="J618" i="8"/>
  <c r="I618" i="8"/>
  <c r="H618" i="8"/>
  <c r="G618" i="8"/>
  <c r="F618" i="8"/>
  <c r="B618" i="8"/>
  <c r="A618" i="8"/>
  <c r="Q617" i="8"/>
  <c r="P617" i="8"/>
  <c r="O617" i="8"/>
  <c r="N617" i="8"/>
  <c r="M617" i="8"/>
  <c r="L617" i="8"/>
  <c r="K617" i="8"/>
  <c r="J617" i="8"/>
  <c r="I617" i="8"/>
  <c r="H617" i="8"/>
  <c r="G617" i="8"/>
  <c r="F617" i="8"/>
  <c r="B617" i="8"/>
  <c r="A617" i="8"/>
  <c r="Q616" i="8"/>
  <c r="P616" i="8"/>
  <c r="O616" i="8"/>
  <c r="N616" i="8"/>
  <c r="M616" i="8"/>
  <c r="L616" i="8"/>
  <c r="K616" i="8"/>
  <c r="J616" i="8"/>
  <c r="I616" i="8"/>
  <c r="H616" i="8"/>
  <c r="G616" i="8"/>
  <c r="F616" i="8"/>
  <c r="B616" i="8"/>
  <c r="A616" i="8"/>
  <c r="Q615" i="8"/>
  <c r="P615" i="8"/>
  <c r="O615" i="8"/>
  <c r="N615" i="8"/>
  <c r="M615" i="8"/>
  <c r="L615" i="8"/>
  <c r="K615" i="8"/>
  <c r="J615" i="8"/>
  <c r="I615" i="8"/>
  <c r="H615" i="8"/>
  <c r="G615" i="8"/>
  <c r="F615" i="8"/>
  <c r="B615" i="8"/>
  <c r="A615" i="8"/>
  <c r="Q614" i="8"/>
  <c r="P614" i="8"/>
  <c r="O614" i="8"/>
  <c r="N614" i="8"/>
  <c r="M614" i="8"/>
  <c r="L614" i="8"/>
  <c r="K614" i="8"/>
  <c r="J614" i="8"/>
  <c r="I614" i="8"/>
  <c r="H614" i="8"/>
  <c r="G614" i="8"/>
  <c r="F614" i="8"/>
  <c r="B614" i="8"/>
  <c r="A614" i="8"/>
  <c r="Q613" i="8"/>
  <c r="P613" i="8"/>
  <c r="O613" i="8"/>
  <c r="N613" i="8"/>
  <c r="M613" i="8"/>
  <c r="L613" i="8"/>
  <c r="K613" i="8"/>
  <c r="J613" i="8"/>
  <c r="I613" i="8"/>
  <c r="H613" i="8"/>
  <c r="G613" i="8"/>
  <c r="F613" i="8"/>
  <c r="B613" i="8"/>
  <c r="A613" i="8"/>
  <c r="Q612" i="8"/>
  <c r="P612" i="8"/>
  <c r="O612" i="8"/>
  <c r="N612" i="8"/>
  <c r="M612" i="8"/>
  <c r="L612" i="8"/>
  <c r="K612" i="8"/>
  <c r="J612" i="8"/>
  <c r="I612" i="8"/>
  <c r="H612" i="8"/>
  <c r="G612" i="8"/>
  <c r="F612" i="8"/>
  <c r="B612" i="8"/>
  <c r="A612" i="8"/>
  <c r="Q611" i="8"/>
  <c r="P611" i="8"/>
  <c r="O611" i="8"/>
  <c r="N611" i="8"/>
  <c r="M611" i="8"/>
  <c r="L611" i="8"/>
  <c r="K611" i="8"/>
  <c r="J611" i="8"/>
  <c r="I611" i="8"/>
  <c r="H611" i="8"/>
  <c r="G611" i="8"/>
  <c r="F611" i="8"/>
  <c r="B611" i="8"/>
  <c r="A611" i="8"/>
  <c r="Q610" i="8"/>
  <c r="P610" i="8"/>
  <c r="O610" i="8"/>
  <c r="N610" i="8"/>
  <c r="M610" i="8"/>
  <c r="L610" i="8"/>
  <c r="K610" i="8"/>
  <c r="J610" i="8"/>
  <c r="I610" i="8"/>
  <c r="H610" i="8"/>
  <c r="G610" i="8"/>
  <c r="F610" i="8"/>
  <c r="B610" i="8"/>
  <c r="A610" i="8"/>
  <c r="Q609" i="8"/>
  <c r="P609" i="8"/>
  <c r="O609" i="8"/>
  <c r="N609" i="8"/>
  <c r="M609" i="8"/>
  <c r="L609" i="8"/>
  <c r="K609" i="8"/>
  <c r="J609" i="8"/>
  <c r="I609" i="8"/>
  <c r="H609" i="8"/>
  <c r="G609" i="8"/>
  <c r="F609" i="8"/>
  <c r="B609" i="8"/>
  <c r="A609" i="8"/>
  <c r="Q608" i="8"/>
  <c r="P608" i="8"/>
  <c r="O608" i="8"/>
  <c r="N608" i="8"/>
  <c r="M608" i="8"/>
  <c r="L608" i="8"/>
  <c r="K608" i="8"/>
  <c r="J608" i="8"/>
  <c r="I608" i="8"/>
  <c r="H608" i="8"/>
  <c r="G608" i="8"/>
  <c r="F608" i="8"/>
  <c r="B608" i="8"/>
  <c r="A608" i="8"/>
  <c r="Q607" i="8"/>
  <c r="P607" i="8"/>
  <c r="O607" i="8"/>
  <c r="N607" i="8"/>
  <c r="M607" i="8"/>
  <c r="L607" i="8"/>
  <c r="K607" i="8"/>
  <c r="J607" i="8"/>
  <c r="I607" i="8"/>
  <c r="H607" i="8"/>
  <c r="G607" i="8"/>
  <c r="F607" i="8"/>
  <c r="B607" i="8"/>
  <c r="A607" i="8"/>
  <c r="Q606" i="8"/>
  <c r="P606" i="8"/>
  <c r="O606" i="8"/>
  <c r="N606" i="8"/>
  <c r="M606" i="8"/>
  <c r="L606" i="8"/>
  <c r="K606" i="8"/>
  <c r="J606" i="8"/>
  <c r="I606" i="8"/>
  <c r="H606" i="8"/>
  <c r="G606" i="8"/>
  <c r="F606" i="8"/>
  <c r="B606" i="8"/>
  <c r="A606" i="8"/>
  <c r="Q605" i="8"/>
  <c r="P605" i="8"/>
  <c r="O605" i="8"/>
  <c r="N605" i="8"/>
  <c r="M605" i="8"/>
  <c r="L605" i="8"/>
  <c r="K605" i="8"/>
  <c r="J605" i="8"/>
  <c r="I605" i="8"/>
  <c r="H605" i="8"/>
  <c r="G605" i="8"/>
  <c r="F605" i="8"/>
  <c r="B605" i="8"/>
  <c r="A605" i="8"/>
  <c r="Q604" i="8"/>
  <c r="P604" i="8"/>
  <c r="O604" i="8"/>
  <c r="N604" i="8"/>
  <c r="M604" i="8"/>
  <c r="L604" i="8"/>
  <c r="K604" i="8"/>
  <c r="J604" i="8"/>
  <c r="I604" i="8"/>
  <c r="H604" i="8"/>
  <c r="G604" i="8"/>
  <c r="F604" i="8"/>
  <c r="B604" i="8"/>
  <c r="A604" i="8"/>
  <c r="Q603" i="8"/>
  <c r="P603" i="8"/>
  <c r="O603" i="8"/>
  <c r="N603" i="8"/>
  <c r="M603" i="8"/>
  <c r="L603" i="8"/>
  <c r="K603" i="8"/>
  <c r="J603" i="8"/>
  <c r="I603" i="8"/>
  <c r="H603" i="8"/>
  <c r="G603" i="8"/>
  <c r="F603" i="8"/>
  <c r="B603" i="8"/>
  <c r="A603" i="8"/>
  <c r="Q602" i="8"/>
  <c r="P602" i="8"/>
  <c r="O602" i="8"/>
  <c r="N602" i="8"/>
  <c r="M602" i="8"/>
  <c r="L602" i="8"/>
  <c r="K602" i="8"/>
  <c r="J602" i="8"/>
  <c r="I602" i="8"/>
  <c r="H602" i="8"/>
  <c r="G602" i="8"/>
  <c r="F602" i="8"/>
  <c r="A602" i="8"/>
  <c r="Q601" i="8"/>
  <c r="P601" i="8"/>
  <c r="O601" i="8"/>
  <c r="N601" i="8"/>
  <c r="M601" i="8"/>
  <c r="L601" i="8"/>
  <c r="K601" i="8"/>
  <c r="J601" i="8"/>
  <c r="I601" i="8"/>
  <c r="H601" i="8"/>
  <c r="G601" i="8"/>
  <c r="F601" i="8"/>
  <c r="A601" i="8"/>
  <c r="Q600" i="8"/>
  <c r="P600" i="8"/>
  <c r="O600" i="8"/>
  <c r="N600" i="8"/>
  <c r="M600" i="8"/>
  <c r="L600" i="8"/>
  <c r="K600" i="8"/>
  <c r="J600" i="8"/>
  <c r="I600" i="8"/>
  <c r="H600" i="8"/>
  <c r="G600" i="8"/>
  <c r="F600" i="8"/>
  <c r="A600" i="8"/>
  <c r="Q599" i="8"/>
  <c r="P599" i="8"/>
  <c r="O599" i="8"/>
  <c r="N599" i="8"/>
  <c r="M599" i="8"/>
  <c r="L599" i="8"/>
  <c r="K599" i="8"/>
  <c r="J599" i="8"/>
  <c r="I599" i="8"/>
  <c r="H599" i="8"/>
  <c r="G599" i="8"/>
  <c r="F599" i="8"/>
  <c r="A599" i="8"/>
  <c r="Q598" i="8"/>
  <c r="P598" i="8"/>
  <c r="O598" i="8"/>
  <c r="N598" i="8"/>
  <c r="M598" i="8"/>
  <c r="L598" i="8"/>
  <c r="K598" i="8"/>
  <c r="J598" i="8"/>
  <c r="I598" i="8"/>
  <c r="H598" i="8"/>
  <c r="G598" i="8"/>
  <c r="F598" i="8"/>
  <c r="B598" i="8"/>
  <c r="A598" i="8"/>
  <c r="Q597" i="8"/>
  <c r="P597" i="8"/>
  <c r="O597" i="8"/>
  <c r="N597" i="8"/>
  <c r="M597" i="8"/>
  <c r="L597" i="8"/>
  <c r="K597" i="8"/>
  <c r="J597" i="8"/>
  <c r="I597" i="8"/>
  <c r="H597" i="8"/>
  <c r="G597" i="8"/>
  <c r="F597" i="8"/>
  <c r="B597" i="8"/>
  <c r="A597" i="8"/>
  <c r="Q596" i="8"/>
  <c r="P596" i="8"/>
  <c r="O596" i="8"/>
  <c r="N596" i="8"/>
  <c r="M596" i="8"/>
  <c r="L596" i="8"/>
  <c r="K596" i="8"/>
  <c r="J596" i="8"/>
  <c r="I596" i="8"/>
  <c r="H596" i="8"/>
  <c r="G596" i="8"/>
  <c r="F596" i="8"/>
  <c r="B596" i="8"/>
  <c r="A596" i="8"/>
  <c r="Q595" i="8"/>
  <c r="P595" i="8"/>
  <c r="O595" i="8"/>
  <c r="N595" i="8"/>
  <c r="M595" i="8"/>
  <c r="L595" i="8"/>
  <c r="K595" i="8"/>
  <c r="J595" i="8"/>
  <c r="I595" i="8"/>
  <c r="H595" i="8"/>
  <c r="G595" i="8"/>
  <c r="F595" i="8"/>
  <c r="B595" i="8"/>
  <c r="A595" i="8"/>
  <c r="Q594" i="8"/>
  <c r="P594" i="8"/>
  <c r="O594" i="8"/>
  <c r="N594" i="8"/>
  <c r="M594" i="8"/>
  <c r="L594" i="8"/>
  <c r="K594" i="8"/>
  <c r="J594" i="8"/>
  <c r="I594" i="8"/>
  <c r="H594" i="8"/>
  <c r="G594" i="8"/>
  <c r="F594" i="8"/>
  <c r="B594" i="8"/>
  <c r="A594" i="8"/>
  <c r="Q593" i="8"/>
  <c r="P593" i="8"/>
  <c r="O593" i="8"/>
  <c r="N593" i="8"/>
  <c r="M593" i="8"/>
  <c r="L593" i="8"/>
  <c r="K593" i="8"/>
  <c r="J593" i="8"/>
  <c r="I593" i="8"/>
  <c r="H593" i="8"/>
  <c r="G593" i="8"/>
  <c r="F593" i="8"/>
  <c r="B593" i="8"/>
  <c r="A593" i="8"/>
  <c r="Q592" i="8"/>
  <c r="P592" i="8"/>
  <c r="O592" i="8"/>
  <c r="N592" i="8"/>
  <c r="M592" i="8"/>
  <c r="L592" i="8"/>
  <c r="K592" i="8"/>
  <c r="J592" i="8"/>
  <c r="I592" i="8"/>
  <c r="H592" i="8"/>
  <c r="G592" i="8"/>
  <c r="F592" i="8"/>
  <c r="B592" i="8"/>
  <c r="A592" i="8"/>
  <c r="Q591" i="8"/>
  <c r="P591" i="8"/>
  <c r="O591" i="8"/>
  <c r="N591" i="8"/>
  <c r="M591" i="8"/>
  <c r="L591" i="8"/>
  <c r="K591" i="8"/>
  <c r="J591" i="8"/>
  <c r="I591" i="8"/>
  <c r="H591" i="8"/>
  <c r="G591" i="8"/>
  <c r="F591" i="8"/>
  <c r="B591" i="8"/>
  <c r="A591" i="8"/>
  <c r="Q590" i="8"/>
  <c r="P590" i="8"/>
  <c r="O590" i="8"/>
  <c r="N590" i="8"/>
  <c r="M590" i="8"/>
  <c r="L590" i="8"/>
  <c r="K590" i="8"/>
  <c r="J590" i="8"/>
  <c r="I590" i="8"/>
  <c r="H590" i="8"/>
  <c r="G590" i="8"/>
  <c r="F590" i="8"/>
  <c r="B590" i="8"/>
  <c r="A590" i="8"/>
  <c r="Q589" i="8"/>
  <c r="P589" i="8"/>
  <c r="O589" i="8"/>
  <c r="N589" i="8"/>
  <c r="M589" i="8"/>
  <c r="L589" i="8"/>
  <c r="K589" i="8"/>
  <c r="J589" i="8"/>
  <c r="I589" i="8"/>
  <c r="H589" i="8"/>
  <c r="G589" i="8"/>
  <c r="F589" i="8"/>
  <c r="B589" i="8"/>
  <c r="A589" i="8"/>
  <c r="Q588" i="8"/>
  <c r="P588" i="8"/>
  <c r="O588" i="8"/>
  <c r="N588" i="8"/>
  <c r="M588" i="8"/>
  <c r="L588" i="8"/>
  <c r="K588" i="8"/>
  <c r="J588" i="8"/>
  <c r="I588" i="8"/>
  <c r="H588" i="8"/>
  <c r="G588" i="8"/>
  <c r="F588" i="8"/>
  <c r="B588" i="8"/>
  <c r="A588" i="8"/>
  <c r="Q587" i="8"/>
  <c r="P587" i="8"/>
  <c r="O587" i="8"/>
  <c r="N587" i="8"/>
  <c r="M587" i="8"/>
  <c r="L587" i="8"/>
  <c r="K587" i="8"/>
  <c r="J587" i="8"/>
  <c r="I587" i="8"/>
  <c r="H587" i="8"/>
  <c r="G587" i="8"/>
  <c r="F587" i="8"/>
  <c r="B587" i="8"/>
  <c r="A587" i="8"/>
  <c r="Q586" i="8"/>
  <c r="P586" i="8"/>
  <c r="O586" i="8"/>
  <c r="N586" i="8"/>
  <c r="M586" i="8"/>
  <c r="L586" i="8"/>
  <c r="K586" i="8"/>
  <c r="J586" i="8"/>
  <c r="I586" i="8"/>
  <c r="H586" i="8"/>
  <c r="G586" i="8"/>
  <c r="F586" i="8"/>
  <c r="B586" i="8"/>
  <c r="A586" i="8"/>
  <c r="Q585" i="8"/>
  <c r="P585" i="8"/>
  <c r="O585" i="8"/>
  <c r="N585" i="8"/>
  <c r="M585" i="8"/>
  <c r="L585" i="8"/>
  <c r="K585" i="8"/>
  <c r="J585" i="8"/>
  <c r="I585" i="8"/>
  <c r="H585" i="8"/>
  <c r="G585" i="8"/>
  <c r="F585" i="8"/>
  <c r="B585" i="8"/>
  <c r="A585" i="8"/>
  <c r="Q584" i="8"/>
  <c r="P584" i="8"/>
  <c r="O584" i="8"/>
  <c r="N584" i="8"/>
  <c r="M584" i="8"/>
  <c r="L584" i="8"/>
  <c r="K584" i="8"/>
  <c r="J584" i="8"/>
  <c r="I584" i="8"/>
  <c r="H584" i="8"/>
  <c r="G584" i="8"/>
  <c r="F584" i="8"/>
  <c r="B584" i="8"/>
  <c r="A584" i="8"/>
  <c r="Q583" i="8"/>
  <c r="P583" i="8"/>
  <c r="O583" i="8"/>
  <c r="N583" i="8"/>
  <c r="M583" i="8"/>
  <c r="L583" i="8"/>
  <c r="K583" i="8"/>
  <c r="J583" i="8"/>
  <c r="I583" i="8"/>
  <c r="H583" i="8"/>
  <c r="G583" i="8"/>
  <c r="F583" i="8"/>
  <c r="B583" i="8"/>
  <c r="A583" i="8"/>
  <c r="Q582" i="8"/>
  <c r="P582" i="8"/>
  <c r="O582" i="8"/>
  <c r="N582" i="8"/>
  <c r="M582" i="8"/>
  <c r="L582" i="8"/>
  <c r="K582" i="8"/>
  <c r="J582" i="8"/>
  <c r="I582" i="8"/>
  <c r="H582" i="8"/>
  <c r="G582" i="8"/>
  <c r="F582" i="8"/>
  <c r="B582" i="8"/>
  <c r="A582" i="8"/>
  <c r="Q581" i="8"/>
  <c r="P581" i="8"/>
  <c r="O581" i="8"/>
  <c r="N581" i="8"/>
  <c r="M581" i="8"/>
  <c r="L581" i="8"/>
  <c r="K581" i="8"/>
  <c r="J581" i="8"/>
  <c r="I581" i="8"/>
  <c r="H581" i="8"/>
  <c r="G581" i="8"/>
  <c r="F581" i="8"/>
  <c r="B581" i="8"/>
  <c r="A581" i="8"/>
  <c r="Q580" i="8"/>
  <c r="P580" i="8"/>
  <c r="O580" i="8"/>
  <c r="N580" i="8"/>
  <c r="M580" i="8"/>
  <c r="L580" i="8"/>
  <c r="K580" i="8"/>
  <c r="J580" i="8"/>
  <c r="I580" i="8"/>
  <c r="H580" i="8"/>
  <c r="G580" i="8"/>
  <c r="F580" i="8"/>
  <c r="B580" i="8"/>
  <c r="A580" i="8"/>
  <c r="Q579" i="8"/>
  <c r="P579" i="8"/>
  <c r="O579" i="8"/>
  <c r="N579" i="8"/>
  <c r="M579" i="8"/>
  <c r="L579" i="8"/>
  <c r="K579" i="8"/>
  <c r="J579" i="8"/>
  <c r="I579" i="8"/>
  <c r="H579" i="8"/>
  <c r="G579" i="8"/>
  <c r="F579" i="8"/>
  <c r="B579" i="8"/>
  <c r="A579" i="8"/>
  <c r="Q578" i="8"/>
  <c r="P578" i="8"/>
  <c r="O578" i="8"/>
  <c r="N578" i="8"/>
  <c r="M578" i="8"/>
  <c r="L578" i="8"/>
  <c r="K578" i="8"/>
  <c r="J578" i="8"/>
  <c r="I578" i="8"/>
  <c r="H578" i="8"/>
  <c r="G578" i="8"/>
  <c r="F578" i="8"/>
  <c r="A578" i="8"/>
  <c r="Q577" i="8"/>
  <c r="P577" i="8"/>
  <c r="O577" i="8"/>
  <c r="N577" i="8"/>
  <c r="M577" i="8"/>
  <c r="L577" i="8"/>
  <c r="K577" i="8"/>
  <c r="J577" i="8"/>
  <c r="I577" i="8"/>
  <c r="H577" i="8"/>
  <c r="G577" i="8"/>
  <c r="F577" i="8"/>
  <c r="A577" i="8"/>
  <c r="Q576" i="8"/>
  <c r="P576" i="8"/>
  <c r="O576" i="8"/>
  <c r="N576" i="8"/>
  <c r="M576" i="8"/>
  <c r="L576" i="8"/>
  <c r="K576" i="8"/>
  <c r="J576" i="8"/>
  <c r="I576" i="8"/>
  <c r="H576" i="8"/>
  <c r="G576" i="8"/>
  <c r="F576" i="8"/>
  <c r="A576" i="8"/>
  <c r="Q575" i="8"/>
  <c r="P575" i="8"/>
  <c r="O575" i="8"/>
  <c r="N575" i="8"/>
  <c r="M575" i="8"/>
  <c r="L575" i="8"/>
  <c r="K575" i="8"/>
  <c r="J575" i="8"/>
  <c r="I575" i="8"/>
  <c r="H575" i="8"/>
  <c r="G575" i="8"/>
  <c r="F575" i="8"/>
  <c r="A575" i="8"/>
  <c r="Q574" i="8"/>
  <c r="P574" i="8"/>
  <c r="O574" i="8"/>
  <c r="N574" i="8"/>
  <c r="M574" i="8"/>
  <c r="L574" i="8"/>
  <c r="K574" i="8"/>
  <c r="J574" i="8"/>
  <c r="I574" i="8"/>
  <c r="H574" i="8"/>
  <c r="G574" i="8"/>
  <c r="F574" i="8"/>
  <c r="B574" i="8"/>
  <c r="A574" i="8"/>
  <c r="Q573" i="8"/>
  <c r="P573" i="8"/>
  <c r="O573" i="8"/>
  <c r="N573" i="8"/>
  <c r="M573" i="8"/>
  <c r="L573" i="8"/>
  <c r="K573" i="8"/>
  <c r="J573" i="8"/>
  <c r="I573" i="8"/>
  <c r="H573" i="8"/>
  <c r="G573" i="8"/>
  <c r="F573" i="8"/>
  <c r="B573" i="8"/>
  <c r="A573" i="8"/>
  <c r="Q572" i="8"/>
  <c r="P572" i="8"/>
  <c r="O572" i="8"/>
  <c r="N572" i="8"/>
  <c r="M572" i="8"/>
  <c r="L572" i="8"/>
  <c r="K572" i="8"/>
  <c r="J572" i="8"/>
  <c r="I572" i="8"/>
  <c r="H572" i="8"/>
  <c r="G572" i="8"/>
  <c r="F572" i="8"/>
  <c r="B572" i="8"/>
  <c r="A572" i="8"/>
  <c r="Q571" i="8"/>
  <c r="P571" i="8"/>
  <c r="O571" i="8"/>
  <c r="N571" i="8"/>
  <c r="M571" i="8"/>
  <c r="L571" i="8"/>
  <c r="K571" i="8"/>
  <c r="J571" i="8"/>
  <c r="I571" i="8"/>
  <c r="H571" i="8"/>
  <c r="G571" i="8"/>
  <c r="F571" i="8"/>
  <c r="B571" i="8"/>
  <c r="A571" i="8"/>
  <c r="Q570" i="8"/>
  <c r="P570" i="8"/>
  <c r="O570" i="8"/>
  <c r="N570" i="8"/>
  <c r="M570" i="8"/>
  <c r="L570" i="8"/>
  <c r="K570" i="8"/>
  <c r="J570" i="8"/>
  <c r="I570" i="8"/>
  <c r="H570" i="8"/>
  <c r="G570" i="8"/>
  <c r="F570" i="8"/>
  <c r="B570" i="8"/>
  <c r="A570" i="8"/>
  <c r="Q569" i="8"/>
  <c r="P569" i="8"/>
  <c r="O569" i="8"/>
  <c r="N569" i="8"/>
  <c r="M569" i="8"/>
  <c r="L569" i="8"/>
  <c r="K569" i="8"/>
  <c r="J569" i="8"/>
  <c r="I569" i="8"/>
  <c r="H569" i="8"/>
  <c r="G569" i="8"/>
  <c r="F569" i="8"/>
  <c r="B569" i="8"/>
  <c r="A569" i="8"/>
  <c r="Q568" i="8"/>
  <c r="P568" i="8"/>
  <c r="O568" i="8"/>
  <c r="N568" i="8"/>
  <c r="M568" i="8"/>
  <c r="L568" i="8"/>
  <c r="K568" i="8"/>
  <c r="J568" i="8"/>
  <c r="I568" i="8"/>
  <c r="H568" i="8"/>
  <c r="G568" i="8"/>
  <c r="F568" i="8"/>
  <c r="B568" i="8"/>
  <c r="A568" i="8"/>
  <c r="Q567" i="8"/>
  <c r="P567" i="8"/>
  <c r="O567" i="8"/>
  <c r="N567" i="8"/>
  <c r="M567" i="8"/>
  <c r="L567" i="8"/>
  <c r="K567" i="8"/>
  <c r="J567" i="8"/>
  <c r="I567" i="8"/>
  <c r="H567" i="8"/>
  <c r="G567" i="8"/>
  <c r="F567" i="8"/>
  <c r="B567" i="8"/>
  <c r="A567" i="8"/>
  <c r="Q566" i="8"/>
  <c r="P566" i="8"/>
  <c r="O566" i="8"/>
  <c r="N566" i="8"/>
  <c r="M566" i="8"/>
  <c r="L566" i="8"/>
  <c r="K566" i="8"/>
  <c r="J566" i="8"/>
  <c r="I566" i="8"/>
  <c r="H566" i="8"/>
  <c r="G566" i="8"/>
  <c r="F566" i="8"/>
  <c r="B566" i="8"/>
  <c r="A566" i="8"/>
  <c r="Q565" i="8"/>
  <c r="P565" i="8"/>
  <c r="O565" i="8"/>
  <c r="N565" i="8"/>
  <c r="M565" i="8"/>
  <c r="L565" i="8"/>
  <c r="K565" i="8"/>
  <c r="J565" i="8"/>
  <c r="I565" i="8"/>
  <c r="H565" i="8"/>
  <c r="G565" i="8"/>
  <c r="F565" i="8"/>
  <c r="B565" i="8"/>
  <c r="A565" i="8"/>
  <c r="Q564" i="8"/>
  <c r="P564" i="8"/>
  <c r="O564" i="8"/>
  <c r="N564" i="8"/>
  <c r="M564" i="8"/>
  <c r="L564" i="8"/>
  <c r="K564" i="8"/>
  <c r="J564" i="8"/>
  <c r="I564" i="8"/>
  <c r="H564" i="8"/>
  <c r="G564" i="8"/>
  <c r="F564" i="8"/>
  <c r="B564" i="8"/>
  <c r="A564" i="8"/>
  <c r="Q563" i="8"/>
  <c r="P563" i="8"/>
  <c r="O563" i="8"/>
  <c r="N563" i="8"/>
  <c r="M563" i="8"/>
  <c r="L563" i="8"/>
  <c r="K563" i="8"/>
  <c r="J563" i="8"/>
  <c r="I563" i="8"/>
  <c r="H563" i="8"/>
  <c r="G563" i="8"/>
  <c r="F563" i="8"/>
  <c r="B563" i="8"/>
  <c r="A563" i="8"/>
  <c r="Q562" i="8"/>
  <c r="P562" i="8"/>
  <c r="O562" i="8"/>
  <c r="N562" i="8"/>
  <c r="M562" i="8"/>
  <c r="L562" i="8"/>
  <c r="K562" i="8"/>
  <c r="J562" i="8"/>
  <c r="I562" i="8"/>
  <c r="H562" i="8"/>
  <c r="G562" i="8"/>
  <c r="F562" i="8"/>
  <c r="B562" i="8"/>
  <c r="A562" i="8"/>
  <c r="Q561" i="8"/>
  <c r="P561" i="8"/>
  <c r="O561" i="8"/>
  <c r="N561" i="8"/>
  <c r="M561" i="8"/>
  <c r="L561" i="8"/>
  <c r="K561" i="8"/>
  <c r="J561" i="8"/>
  <c r="I561" i="8"/>
  <c r="H561" i="8"/>
  <c r="G561" i="8"/>
  <c r="F561" i="8"/>
  <c r="B561" i="8"/>
  <c r="A561" i="8"/>
  <c r="Q560" i="8"/>
  <c r="P560" i="8"/>
  <c r="O560" i="8"/>
  <c r="N560" i="8"/>
  <c r="M560" i="8"/>
  <c r="L560" i="8"/>
  <c r="K560" i="8"/>
  <c r="J560" i="8"/>
  <c r="I560" i="8"/>
  <c r="H560" i="8"/>
  <c r="G560" i="8"/>
  <c r="F560" i="8"/>
  <c r="B560" i="8"/>
  <c r="A560" i="8"/>
  <c r="Q559" i="8"/>
  <c r="P559" i="8"/>
  <c r="O559" i="8"/>
  <c r="N559" i="8"/>
  <c r="M559" i="8"/>
  <c r="L559" i="8"/>
  <c r="K559" i="8"/>
  <c r="J559" i="8"/>
  <c r="I559" i="8"/>
  <c r="H559" i="8"/>
  <c r="G559" i="8"/>
  <c r="F559" i="8"/>
  <c r="B559" i="8"/>
  <c r="A559" i="8"/>
  <c r="Q558" i="8"/>
  <c r="P558" i="8"/>
  <c r="O558" i="8"/>
  <c r="N558" i="8"/>
  <c r="M558" i="8"/>
  <c r="L558" i="8"/>
  <c r="K558" i="8"/>
  <c r="J558" i="8"/>
  <c r="I558" i="8"/>
  <c r="H558" i="8"/>
  <c r="G558" i="8"/>
  <c r="F558" i="8"/>
  <c r="B558" i="8"/>
  <c r="A558" i="8"/>
  <c r="Q557" i="8"/>
  <c r="P557" i="8"/>
  <c r="O557" i="8"/>
  <c r="N557" i="8"/>
  <c r="M557" i="8"/>
  <c r="L557" i="8"/>
  <c r="K557" i="8"/>
  <c r="J557" i="8"/>
  <c r="I557" i="8"/>
  <c r="H557" i="8"/>
  <c r="G557" i="8"/>
  <c r="F557" i="8"/>
  <c r="B557" i="8"/>
  <c r="A557" i="8"/>
  <c r="Q556" i="8"/>
  <c r="P556" i="8"/>
  <c r="O556" i="8"/>
  <c r="N556" i="8"/>
  <c r="M556" i="8"/>
  <c r="L556" i="8"/>
  <c r="K556" i="8"/>
  <c r="J556" i="8"/>
  <c r="I556" i="8"/>
  <c r="H556" i="8"/>
  <c r="G556" i="8"/>
  <c r="F556" i="8"/>
  <c r="B556" i="8"/>
  <c r="A556" i="8"/>
  <c r="Q555" i="8"/>
  <c r="P555" i="8"/>
  <c r="O555" i="8"/>
  <c r="N555" i="8"/>
  <c r="M555" i="8"/>
  <c r="L555" i="8"/>
  <c r="K555" i="8"/>
  <c r="J555" i="8"/>
  <c r="I555" i="8"/>
  <c r="H555" i="8"/>
  <c r="G555" i="8"/>
  <c r="F555" i="8"/>
  <c r="B555" i="8"/>
  <c r="A555" i="8"/>
  <c r="Q554" i="8"/>
  <c r="P554" i="8"/>
  <c r="O554" i="8"/>
  <c r="N554" i="8"/>
  <c r="M554" i="8"/>
  <c r="L554" i="8"/>
  <c r="K554" i="8"/>
  <c r="J554" i="8"/>
  <c r="I554" i="8"/>
  <c r="H554" i="8"/>
  <c r="G554" i="8"/>
  <c r="F554" i="8"/>
  <c r="A554" i="8"/>
  <c r="Q553" i="8"/>
  <c r="P553" i="8"/>
  <c r="O553" i="8"/>
  <c r="N553" i="8"/>
  <c r="M553" i="8"/>
  <c r="L553" i="8"/>
  <c r="K553" i="8"/>
  <c r="J553" i="8"/>
  <c r="I553" i="8"/>
  <c r="H553" i="8"/>
  <c r="G553" i="8"/>
  <c r="F553" i="8"/>
  <c r="A553" i="8"/>
  <c r="Q552" i="8"/>
  <c r="P552" i="8"/>
  <c r="O552" i="8"/>
  <c r="N552" i="8"/>
  <c r="M552" i="8"/>
  <c r="L552" i="8"/>
  <c r="K552" i="8"/>
  <c r="J552" i="8"/>
  <c r="I552" i="8"/>
  <c r="H552" i="8"/>
  <c r="G552" i="8"/>
  <c r="F552" i="8"/>
  <c r="A552" i="8"/>
  <c r="Q551" i="8"/>
  <c r="P551" i="8"/>
  <c r="O551" i="8"/>
  <c r="N551" i="8"/>
  <c r="M551" i="8"/>
  <c r="L551" i="8"/>
  <c r="K551" i="8"/>
  <c r="J551" i="8"/>
  <c r="I551" i="8"/>
  <c r="H551" i="8"/>
  <c r="G551" i="8"/>
  <c r="F551" i="8"/>
  <c r="A551" i="8"/>
  <c r="Q550" i="8"/>
  <c r="P550" i="8"/>
  <c r="O550" i="8"/>
  <c r="N550" i="8"/>
  <c r="M550" i="8"/>
  <c r="L550" i="8"/>
  <c r="K550" i="8"/>
  <c r="J550" i="8"/>
  <c r="I550" i="8"/>
  <c r="H550" i="8"/>
  <c r="G550" i="8"/>
  <c r="F550" i="8"/>
  <c r="B550" i="8"/>
  <c r="A550" i="8"/>
  <c r="Q549" i="8"/>
  <c r="P549" i="8"/>
  <c r="O549" i="8"/>
  <c r="N549" i="8"/>
  <c r="M549" i="8"/>
  <c r="L549" i="8"/>
  <c r="K549" i="8"/>
  <c r="J549" i="8"/>
  <c r="I549" i="8"/>
  <c r="H549" i="8"/>
  <c r="G549" i="8"/>
  <c r="F549" i="8"/>
  <c r="B549" i="8"/>
  <c r="A549" i="8"/>
  <c r="Q548" i="8"/>
  <c r="P548" i="8"/>
  <c r="O548" i="8"/>
  <c r="N548" i="8"/>
  <c r="M548" i="8"/>
  <c r="L548" i="8"/>
  <c r="K548" i="8"/>
  <c r="J548" i="8"/>
  <c r="I548" i="8"/>
  <c r="H548" i="8"/>
  <c r="G548" i="8"/>
  <c r="F548" i="8"/>
  <c r="B548" i="8"/>
  <c r="A548" i="8"/>
  <c r="Q547" i="8"/>
  <c r="P547" i="8"/>
  <c r="O547" i="8"/>
  <c r="N547" i="8"/>
  <c r="M547" i="8"/>
  <c r="L547" i="8"/>
  <c r="K547" i="8"/>
  <c r="J547" i="8"/>
  <c r="I547" i="8"/>
  <c r="H547" i="8"/>
  <c r="G547" i="8"/>
  <c r="F547" i="8"/>
  <c r="B547" i="8"/>
  <c r="A547" i="8"/>
  <c r="Q546" i="8"/>
  <c r="P546" i="8"/>
  <c r="O546" i="8"/>
  <c r="N546" i="8"/>
  <c r="M546" i="8"/>
  <c r="L546" i="8"/>
  <c r="K546" i="8"/>
  <c r="J546" i="8"/>
  <c r="I546" i="8"/>
  <c r="H546" i="8"/>
  <c r="G546" i="8"/>
  <c r="F546" i="8"/>
  <c r="B546" i="8"/>
  <c r="A546" i="8"/>
  <c r="Q545" i="8"/>
  <c r="P545" i="8"/>
  <c r="O545" i="8"/>
  <c r="N545" i="8"/>
  <c r="M545" i="8"/>
  <c r="L545" i="8"/>
  <c r="K545" i="8"/>
  <c r="J545" i="8"/>
  <c r="I545" i="8"/>
  <c r="H545" i="8"/>
  <c r="G545" i="8"/>
  <c r="F545" i="8"/>
  <c r="B545" i="8"/>
  <c r="A545" i="8"/>
  <c r="Q544" i="8"/>
  <c r="P544" i="8"/>
  <c r="O544" i="8"/>
  <c r="N544" i="8"/>
  <c r="M544" i="8"/>
  <c r="L544" i="8"/>
  <c r="K544" i="8"/>
  <c r="J544" i="8"/>
  <c r="I544" i="8"/>
  <c r="H544" i="8"/>
  <c r="G544" i="8"/>
  <c r="F544" i="8"/>
  <c r="B544" i="8"/>
  <c r="A544" i="8"/>
  <c r="Q543" i="8"/>
  <c r="P543" i="8"/>
  <c r="O543" i="8"/>
  <c r="N543" i="8"/>
  <c r="M543" i="8"/>
  <c r="L543" i="8"/>
  <c r="K543" i="8"/>
  <c r="J543" i="8"/>
  <c r="I543" i="8"/>
  <c r="H543" i="8"/>
  <c r="G543" i="8"/>
  <c r="F543" i="8"/>
  <c r="B543" i="8"/>
  <c r="A543" i="8"/>
  <c r="Q542" i="8"/>
  <c r="P542" i="8"/>
  <c r="O542" i="8"/>
  <c r="N542" i="8"/>
  <c r="M542" i="8"/>
  <c r="L542" i="8"/>
  <c r="K542" i="8"/>
  <c r="J542" i="8"/>
  <c r="I542" i="8"/>
  <c r="H542" i="8"/>
  <c r="G542" i="8"/>
  <c r="F542" i="8"/>
  <c r="B542" i="8"/>
  <c r="A542" i="8"/>
  <c r="Q541" i="8"/>
  <c r="P541" i="8"/>
  <c r="O541" i="8"/>
  <c r="N541" i="8"/>
  <c r="M541" i="8"/>
  <c r="L541" i="8"/>
  <c r="K541" i="8"/>
  <c r="J541" i="8"/>
  <c r="I541" i="8"/>
  <c r="H541" i="8"/>
  <c r="G541" i="8"/>
  <c r="F541" i="8"/>
  <c r="B541" i="8"/>
  <c r="A541" i="8"/>
  <c r="Q540" i="8"/>
  <c r="P540" i="8"/>
  <c r="O540" i="8"/>
  <c r="N540" i="8"/>
  <c r="M540" i="8"/>
  <c r="L540" i="8"/>
  <c r="K540" i="8"/>
  <c r="J540" i="8"/>
  <c r="I540" i="8"/>
  <c r="H540" i="8"/>
  <c r="G540" i="8"/>
  <c r="F540" i="8"/>
  <c r="B540" i="8"/>
  <c r="A540" i="8"/>
  <c r="Q539" i="8"/>
  <c r="P539" i="8"/>
  <c r="O539" i="8"/>
  <c r="N539" i="8"/>
  <c r="M539" i="8"/>
  <c r="L539" i="8"/>
  <c r="K539" i="8"/>
  <c r="J539" i="8"/>
  <c r="I539" i="8"/>
  <c r="H539" i="8"/>
  <c r="G539" i="8"/>
  <c r="F539" i="8"/>
  <c r="B539" i="8"/>
  <c r="A539" i="8"/>
  <c r="Q538" i="8"/>
  <c r="P538" i="8"/>
  <c r="O538" i="8"/>
  <c r="N538" i="8"/>
  <c r="M538" i="8"/>
  <c r="L538" i="8"/>
  <c r="K538" i="8"/>
  <c r="J538" i="8"/>
  <c r="I538" i="8"/>
  <c r="H538" i="8"/>
  <c r="G538" i="8"/>
  <c r="F538" i="8"/>
  <c r="B538" i="8"/>
  <c r="A538" i="8"/>
  <c r="Q537" i="8"/>
  <c r="P537" i="8"/>
  <c r="O537" i="8"/>
  <c r="N537" i="8"/>
  <c r="M537" i="8"/>
  <c r="L537" i="8"/>
  <c r="K537" i="8"/>
  <c r="J537" i="8"/>
  <c r="I537" i="8"/>
  <c r="H537" i="8"/>
  <c r="G537" i="8"/>
  <c r="F537" i="8"/>
  <c r="B537" i="8"/>
  <c r="A537" i="8"/>
  <c r="Q536" i="8"/>
  <c r="P536" i="8"/>
  <c r="O536" i="8"/>
  <c r="N536" i="8"/>
  <c r="M536" i="8"/>
  <c r="L536" i="8"/>
  <c r="K536" i="8"/>
  <c r="J536" i="8"/>
  <c r="I536" i="8"/>
  <c r="H536" i="8"/>
  <c r="G536" i="8"/>
  <c r="F536" i="8"/>
  <c r="B536" i="8"/>
  <c r="A536" i="8"/>
  <c r="Q535" i="8"/>
  <c r="P535" i="8"/>
  <c r="O535" i="8"/>
  <c r="N535" i="8"/>
  <c r="M535" i="8"/>
  <c r="L535" i="8"/>
  <c r="K535" i="8"/>
  <c r="J535" i="8"/>
  <c r="I535" i="8"/>
  <c r="H535" i="8"/>
  <c r="G535" i="8"/>
  <c r="F535" i="8"/>
  <c r="B535" i="8"/>
  <c r="A535" i="8"/>
  <c r="Q534" i="8"/>
  <c r="P534" i="8"/>
  <c r="O534" i="8"/>
  <c r="N534" i="8"/>
  <c r="M534" i="8"/>
  <c r="L534" i="8"/>
  <c r="K534" i="8"/>
  <c r="J534" i="8"/>
  <c r="I534" i="8"/>
  <c r="H534" i="8"/>
  <c r="G534" i="8"/>
  <c r="F534" i="8"/>
  <c r="B534" i="8"/>
  <c r="A534" i="8"/>
  <c r="Q533" i="8"/>
  <c r="P533" i="8"/>
  <c r="O533" i="8"/>
  <c r="N533" i="8"/>
  <c r="M533" i="8"/>
  <c r="L533" i="8"/>
  <c r="K533" i="8"/>
  <c r="J533" i="8"/>
  <c r="I533" i="8"/>
  <c r="H533" i="8"/>
  <c r="G533" i="8"/>
  <c r="F533" i="8"/>
  <c r="B533" i="8"/>
  <c r="A533" i="8"/>
  <c r="Q532" i="8"/>
  <c r="P532" i="8"/>
  <c r="O532" i="8"/>
  <c r="N532" i="8"/>
  <c r="M532" i="8"/>
  <c r="L532" i="8"/>
  <c r="K532" i="8"/>
  <c r="J532" i="8"/>
  <c r="I532" i="8"/>
  <c r="H532" i="8"/>
  <c r="G532" i="8"/>
  <c r="F532" i="8"/>
  <c r="B532" i="8"/>
  <c r="A532" i="8"/>
  <c r="Q531" i="8"/>
  <c r="P531" i="8"/>
  <c r="O531" i="8"/>
  <c r="N531" i="8"/>
  <c r="M531" i="8"/>
  <c r="L531" i="8"/>
  <c r="K531" i="8"/>
  <c r="J531" i="8"/>
  <c r="I531" i="8"/>
  <c r="H531" i="8"/>
  <c r="G531" i="8"/>
  <c r="F531" i="8"/>
  <c r="B531" i="8"/>
  <c r="A531" i="8"/>
  <c r="Q530" i="8"/>
  <c r="P530" i="8"/>
  <c r="O530" i="8"/>
  <c r="N530" i="8"/>
  <c r="M530" i="8"/>
  <c r="L530" i="8"/>
  <c r="K530" i="8"/>
  <c r="J530" i="8"/>
  <c r="I530" i="8"/>
  <c r="H530" i="8"/>
  <c r="G530" i="8"/>
  <c r="F530" i="8"/>
  <c r="A530" i="8"/>
  <c r="Q529" i="8"/>
  <c r="P529" i="8"/>
  <c r="O529" i="8"/>
  <c r="N529" i="8"/>
  <c r="M529" i="8"/>
  <c r="L529" i="8"/>
  <c r="K529" i="8"/>
  <c r="J529" i="8"/>
  <c r="I529" i="8"/>
  <c r="H529" i="8"/>
  <c r="G529" i="8"/>
  <c r="F529" i="8"/>
  <c r="A529" i="8"/>
  <c r="Q528" i="8"/>
  <c r="P528" i="8"/>
  <c r="O528" i="8"/>
  <c r="N528" i="8"/>
  <c r="M528" i="8"/>
  <c r="L528" i="8"/>
  <c r="K528" i="8"/>
  <c r="J528" i="8"/>
  <c r="I528" i="8"/>
  <c r="H528" i="8"/>
  <c r="G528" i="8"/>
  <c r="F528" i="8"/>
  <c r="A528" i="8"/>
  <c r="Q527" i="8"/>
  <c r="P527" i="8"/>
  <c r="O527" i="8"/>
  <c r="N527" i="8"/>
  <c r="M527" i="8"/>
  <c r="L527" i="8"/>
  <c r="K527" i="8"/>
  <c r="J527" i="8"/>
  <c r="I527" i="8"/>
  <c r="H527" i="8"/>
  <c r="G527" i="8"/>
  <c r="F527" i="8"/>
  <c r="A527" i="8"/>
  <c r="Q526" i="8"/>
  <c r="P526" i="8"/>
  <c r="O526" i="8"/>
  <c r="N526" i="8"/>
  <c r="M526" i="8"/>
  <c r="L526" i="8"/>
  <c r="K526" i="8"/>
  <c r="J526" i="8"/>
  <c r="I526" i="8"/>
  <c r="H526" i="8"/>
  <c r="G526" i="8"/>
  <c r="F526" i="8"/>
  <c r="B526" i="8"/>
  <c r="A526" i="8"/>
  <c r="Q525" i="8"/>
  <c r="P525" i="8"/>
  <c r="O525" i="8"/>
  <c r="N525" i="8"/>
  <c r="M525" i="8"/>
  <c r="L525" i="8"/>
  <c r="K525" i="8"/>
  <c r="J525" i="8"/>
  <c r="I525" i="8"/>
  <c r="H525" i="8"/>
  <c r="G525" i="8"/>
  <c r="F525" i="8"/>
  <c r="B525" i="8"/>
  <c r="A525" i="8"/>
  <c r="Q524" i="8"/>
  <c r="P524" i="8"/>
  <c r="O524" i="8"/>
  <c r="N524" i="8"/>
  <c r="M524" i="8"/>
  <c r="L524" i="8"/>
  <c r="K524" i="8"/>
  <c r="J524" i="8"/>
  <c r="I524" i="8"/>
  <c r="H524" i="8"/>
  <c r="G524" i="8"/>
  <c r="F524" i="8"/>
  <c r="B524" i="8"/>
  <c r="A524" i="8"/>
  <c r="Q523" i="8"/>
  <c r="P523" i="8"/>
  <c r="O523" i="8"/>
  <c r="N523" i="8"/>
  <c r="M523" i="8"/>
  <c r="L523" i="8"/>
  <c r="K523" i="8"/>
  <c r="J523" i="8"/>
  <c r="I523" i="8"/>
  <c r="H523" i="8"/>
  <c r="G523" i="8"/>
  <c r="F523" i="8"/>
  <c r="B523" i="8"/>
  <c r="A523" i="8"/>
  <c r="Q522" i="8"/>
  <c r="P522" i="8"/>
  <c r="O522" i="8"/>
  <c r="N522" i="8"/>
  <c r="M522" i="8"/>
  <c r="L522" i="8"/>
  <c r="K522" i="8"/>
  <c r="J522" i="8"/>
  <c r="I522" i="8"/>
  <c r="H522" i="8"/>
  <c r="G522" i="8"/>
  <c r="F522" i="8"/>
  <c r="B522" i="8"/>
  <c r="A522" i="8"/>
  <c r="Q521" i="8"/>
  <c r="P521" i="8"/>
  <c r="O521" i="8"/>
  <c r="N521" i="8"/>
  <c r="M521" i="8"/>
  <c r="L521" i="8"/>
  <c r="K521" i="8"/>
  <c r="J521" i="8"/>
  <c r="I521" i="8"/>
  <c r="H521" i="8"/>
  <c r="G521" i="8"/>
  <c r="F521" i="8"/>
  <c r="B521" i="8"/>
  <c r="A521" i="8"/>
  <c r="Q520" i="8"/>
  <c r="P520" i="8"/>
  <c r="O520" i="8"/>
  <c r="N520" i="8"/>
  <c r="M520" i="8"/>
  <c r="L520" i="8"/>
  <c r="K520" i="8"/>
  <c r="J520" i="8"/>
  <c r="I520" i="8"/>
  <c r="H520" i="8"/>
  <c r="G520" i="8"/>
  <c r="F520" i="8"/>
  <c r="B520" i="8"/>
  <c r="A520" i="8"/>
  <c r="Q519" i="8"/>
  <c r="P519" i="8"/>
  <c r="O519" i="8"/>
  <c r="N519" i="8"/>
  <c r="M519" i="8"/>
  <c r="L519" i="8"/>
  <c r="K519" i="8"/>
  <c r="J519" i="8"/>
  <c r="I519" i="8"/>
  <c r="H519" i="8"/>
  <c r="G519" i="8"/>
  <c r="F519" i="8"/>
  <c r="B519" i="8"/>
  <c r="A519" i="8"/>
  <c r="Q518" i="8"/>
  <c r="P518" i="8"/>
  <c r="O518" i="8"/>
  <c r="N518" i="8"/>
  <c r="M518" i="8"/>
  <c r="L518" i="8"/>
  <c r="K518" i="8"/>
  <c r="J518" i="8"/>
  <c r="I518" i="8"/>
  <c r="H518" i="8"/>
  <c r="G518" i="8"/>
  <c r="F518" i="8"/>
  <c r="B518" i="8"/>
  <c r="A518" i="8"/>
  <c r="Q517" i="8"/>
  <c r="P517" i="8"/>
  <c r="O517" i="8"/>
  <c r="N517" i="8"/>
  <c r="M517" i="8"/>
  <c r="L517" i="8"/>
  <c r="K517" i="8"/>
  <c r="J517" i="8"/>
  <c r="I517" i="8"/>
  <c r="H517" i="8"/>
  <c r="G517" i="8"/>
  <c r="F517" i="8"/>
  <c r="B517" i="8"/>
  <c r="A517" i="8"/>
  <c r="Q516" i="8"/>
  <c r="P516" i="8"/>
  <c r="O516" i="8"/>
  <c r="N516" i="8"/>
  <c r="M516" i="8"/>
  <c r="L516" i="8"/>
  <c r="K516" i="8"/>
  <c r="J516" i="8"/>
  <c r="I516" i="8"/>
  <c r="H516" i="8"/>
  <c r="G516" i="8"/>
  <c r="F516" i="8"/>
  <c r="B516" i="8"/>
  <c r="A516" i="8"/>
  <c r="Q515" i="8"/>
  <c r="P515" i="8"/>
  <c r="O515" i="8"/>
  <c r="N515" i="8"/>
  <c r="M515" i="8"/>
  <c r="L515" i="8"/>
  <c r="K515" i="8"/>
  <c r="J515" i="8"/>
  <c r="I515" i="8"/>
  <c r="H515" i="8"/>
  <c r="G515" i="8"/>
  <c r="F515" i="8"/>
  <c r="B515" i="8"/>
  <c r="A515" i="8"/>
  <c r="Q514" i="8"/>
  <c r="P514" i="8"/>
  <c r="O514" i="8"/>
  <c r="N514" i="8"/>
  <c r="M514" i="8"/>
  <c r="L514" i="8"/>
  <c r="K514" i="8"/>
  <c r="J514" i="8"/>
  <c r="I514" i="8"/>
  <c r="H514" i="8"/>
  <c r="G514" i="8"/>
  <c r="F514" i="8"/>
  <c r="B514" i="8"/>
  <c r="A514" i="8"/>
  <c r="Q513" i="8"/>
  <c r="P513" i="8"/>
  <c r="O513" i="8"/>
  <c r="N513" i="8"/>
  <c r="M513" i="8"/>
  <c r="L513" i="8"/>
  <c r="K513" i="8"/>
  <c r="J513" i="8"/>
  <c r="I513" i="8"/>
  <c r="H513" i="8"/>
  <c r="G513" i="8"/>
  <c r="F513" i="8"/>
  <c r="B513" i="8"/>
  <c r="A513" i="8"/>
  <c r="Q512" i="8"/>
  <c r="P512" i="8"/>
  <c r="O512" i="8"/>
  <c r="N512" i="8"/>
  <c r="M512" i="8"/>
  <c r="L512" i="8"/>
  <c r="K512" i="8"/>
  <c r="J512" i="8"/>
  <c r="I512" i="8"/>
  <c r="H512" i="8"/>
  <c r="G512" i="8"/>
  <c r="F512" i="8"/>
  <c r="B512" i="8"/>
  <c r="A512" i="8"/>
  <c r="Q511" i="8"/>
  <c r="P511" i="8"/>
  <c r="O511" i="8"/>
  <c r="N511" i="8"/>
  <c r="M511" i="8"/>
  <c r="L511" i="8"/>
  <c r="K511" i="8"/>
  <c r="J511" i="8"/>
  <c r="I511" i="8"/>
  <c r="H511" i="8"/>
  <c r="G511" i="8"/>
  <c r="F511" i="8"/>
  <c r="B511" i="8"/>
  <c r="A511" i="8"/>
  <c r="Q510" i="8"/>
  <c r="P510" i="8"/>
  <c r="O510" i="8"/>
  <c r="N510" i="8"/>
  <c r="M510" i="8"/>
  <c r="L510" i="8"/>
  <c r="K510" i="8"/>
  <c r="J510" i="8"/>
  <c r="I510" i="8"/>
  <c r="H510" i="8"/>
  <c r="G510" i="8"/>
  <c r="F510" i="8"/>
  <c r="B510" i="8"/>
  <c r="A510" i="8"/>
  <c r="Q509" i="8"/>
  <c r="P509" i="8"/>
  <c r="O509" i="8"/>
  <c r="N509" i="8"/>
  <c r="M509" i="8"/>
  <c r="L509" i="8"/>
  <c r="K509" i="8"/>
  <c r="J509" i="8"/>
  <c r="I509" i="8"/>
  <c r="H509" i="8"/>
  <c r="G509" i="8"/>
  <c r="F509" i="8"/>
  <c r="B509" i="8"/>
  <c r="A509" i="8"/>
  <c r="Q508" i="8"/>
  <c r="P508" i="8"/>
  <c r="O508" i="8"/>
  <c r="N508" i="8"/>
  <c r="M508" i="8"/>
  <c r="L508" i="8"/>
  <c r="K508" i="8"/>
  <c r="J508" i="8"/>
  <c r="I508" i="8"/>
  <c r="H508" i="8"/>
  <c r="G508" i="8"/>
  <c r="F508" i="8"/>
  <c r="B508" i="8"/>
  <c r="A508" i="8"/>
  <c r="Q507" i="8"/>
  <c r="P507" i="8"/>
  <c r="O507" i="8"/>
  <c r="N507" i="8"/>
  <c r="M507" i="8"/>
  <c r="L507" i="8"/>
  <c r="K507" i="8"/>
  <c r="J507" i="8"/>
  <c r="I507" i="8"/>
  <c r="H507" i="8"/>
  <c r="G507" i="8"/>
  <c r="F507" i="8"/>
  <c r="B507" i="8"/>
  <c r="A507" i="8"/>
  <c r="Q506" i="8"/>
  <c r="P506" i="8"/>
  <c r="O506" i="8"/>
  <c r="N506" i="8"/>
  <c r="M506" i="8"/>
  <c r="L506" i="8"/>
  <c r="K506" i="8"/>
  <c r="J506" i="8"/>
  <c r="I506" i="8"/>
  <c r="H506" i="8"/>
  <c r="G506" i="8"/>
  <c r="F506" i="8"/>
  <c r="A506" i="8"/>
  <c r="Q505" i="8"/>
  <c r="P505" i="8"/>
  <c r="O505" i="8"/>
  <c r="N505" i="8"/>
  <c r="M505" i="8"/>
  <c r="L505" i="8"/>
  <c r="K505" i="8"/>
  <c r="J505" i="8"/>
  <c r="I505" i="8"/>
  <c r="H505" i="8"/>
  <c r="G505" i="8"/>
  <c r="F505" i="8"/>
  <c r="A505" i="8"/>
  <c r="Q504" i="8"/>
  <c r="P504" i="8"/>
  <c r="O504" i="8"/>
  <c r="N504" i="8"/>
  <c r="M504" i="8"/>
  <c r="L504" i="8"/>
  <c r="K504" i="8"/>
  <c r="J504" i="8"/>
  <c r="I504" i="8"/>
  <c r="H504" i="8"/>
  <c r="G504" i="8"/>
  <c r="F504" i="8"/>
  <c r="A504" i="8"/>
  <c r="Q503" i="8"/>
  <c r="P503" i="8"/>
  <c r="O503" i="8"/>
  <c r="N503" i="8"/>
  <c r="M503" i="8"/>
  <c r="L503" i="8"/>
  <c r="K503" i="8"/>
  <c r="J503" i="8"/>
  <c r="I503" i="8"/>
  <c r="H503" i="8"/>
  <c r="G503" i="8"/>
  <c r="F503" i="8"/>
  <c r="A503" i="8"/>
  <c r="Q502" i="8"/>
  <c r="P502" i="8"/>
  <c r="O502" i="8"/>
  <c r="N502" i="8"/>
  <c r="M502" i="8"/>
  <c r="L502" i="8"/>
  <c r="K502" i="8"/>
  <c r="J502" i="8"/>
  <c r="I502" i="8"/>
  <c r="H502" i="8"/>
  <c r="G502" i="8"/>
  <c r="F502" i="8"/>
  <c r="B502" i="8"/>
  <c r="A502" i="8"/>
  <c r="Q501" i="8"/>
  <c r="P501" i="8"/>
  <c r="O501" i="8"/>
  <c r="N501" i="8"/>
  <c r="M501" i="8"/>
  <c r="L501" i="8"/>
  <c r="K501" i="8"/>
  <c r="J501" i="8"/>
  <c r="I501" i="8"/>
  <c r="H501" i="8"/>
  <c r="G501" i="8"/>
  <c r="F501" i="8"/>
  <c r="B501" i="8"/>
  <c r="A501" i="8"/>
  <c r="Q500" i="8"/>
  <c r="P500" i="8"/>
  <c r="O500" i="8"/>
  <c r="N500" i="8"/>
  <c r="M500" i="8"/>
  <c r="L500" i="8"/>
  <c r="K500" i="8"/>
  <c r="J500" i="8"/>
  <c r="I500" i="8"/>
  <c r="H500" i="8"/>
  <c r="G500" i="8"/>
  <c r="F500" i="8"/>
  <c r="B500" i="8"/>
  <c r="A500" i="8"/>
  <c r="Q499" i="8"/>
  <c r="P499" i="8"/>
  <c r="O499" i="8"/>
  <c r="N499" i="8"/>
  <c r="M499" i="8"/>
  <c r="L499" i="8"/>
  <c r="K499" i="8"/>
  <c r="J499" i="8"/>
  <c r="I499" i="8"/>
  <c r="H499" i="8"/>
  <c r="G499" i="8"/>
  <c r="F499" i="8"/>
  <c r="B499" i="8"/>
  <c r="A499" i="8"/>
  <c r="Q498" i="8"/>
  <c r="P498" i="8"/>
  <c r="O498" i="8"/>
  <c r="N498" i="8"/>
  <c r="M498" i="8"/>
  <c r="L498" i="8"/>
  <c r="K498" i="8"/>
  <c r="J498" i="8"/>
  <c r="I498" i="8"/>
  <c r="H498" i="8"/>
  <c r="G498" i="8"/>
  <c r="F498" i="8"/>
  <c r="B498" i="8"/>
  <c r="A498" i="8"/>
  <c r="Q497" i="8"/>
  <c r="P497" i="8"/>
  <c r="O497" i="8"/>
  <c r="N497" i="8"/>
  <c r="M497" i="8"/>
  <c r="L497" i="8"/>
  <c r="K497" i="8"/>
  <c r="J497" i="8"/>
  <c r="I497" i="8"/>
  <c r="H497" i="8"/>
  <c r="G497" i="8"/>
  <c r="F497" i="8"/>
  <c r="B497" i="8"/>
  <c r="A497" i="8"/>
  <c r="Q496" i="8"/>
  <c r="P496" i="8"/>
  <c r="O496" i="8"/>
  <c r="N496" i="8"/>
  <c r="M496" i="8"/>
  <c r="L496" i="8"/>
  <c r="K496" i="8"/>
  <c r="J496" i="8"/>
  <c r="I496" i="8"/>
  <c r="H496" i="8"/>
  <c r="G496" i="8"/>
  <c r="F496" i="8"/>
  <c r="B496" i="8"/>
  <c r="A496" i="8"/>
  <c r="Q495" i="8"/>
  <c r="P495" i="8"/>
  <c r="O495" i="8"/>
  <c r="N495" i="8"/>
  <c r="M495" i="8"/>
  <c r="L495" i="8"/>
  <c r="K495" i="8"/>
  <c r="J495" i="8"/>
  <c r="I495" i="8"/>
  <c r="H495" i="8"/>
  <c r="G495" i="8"/>
  <c r="F495" i="8"/>
  <c r="B495" i="8"/>
  <c r="A495" i="8"/>
  <c r="Q494" i="8"/>
  <c r="P494" i="8"/>
  <c r="O494" i="8"/>
  <c r="N494" i="8"/>
  <c r="M494" i="8"/>
  <c r="L494" i="8"/>
  <c r="K494" i="8"/>
  <c r="J494" i="8"/>
  <c r="I494" i="8"/>
  <c r="H494" i="8"/>
  <c r="G494" i="8"/>
  <c r="F494" i="8"/>
  <c r="B494" i="8"/>
  <c r="A494" i="8"/>
  <c r="Q493" i="8"/>
  <c r="P493" i="8"/>
  <c r="O493" i="8"/>
  <c r="N493" i="8"/>
  <c r="M493" i="8"/>
  <c r="L493" i="8"/>
  <c r="K493" i="8"/>
  <c r="J493" i="8"/>
  <c r="I493" i="8"/>
  <c r="H493" i="8"/>
  <c r="G493" i="8"/>
  <c r="F493" i="8"/>
  <c r="B493" i="8"/>
  <c r="A493" i="8"/>
  <c r="Q492" i="8"/>
  <c r="P492" i="8"/>
  <c r="O492" i="8"/>
  <c r="N492" i="8"/>
  <c r="M492" i="8"/>
  <c r="L492" i="8"/>
  <c r="K492" i="8"/>
  <c r="J492" i="8"/>
  <c r="I492" i="8"/>
  <c r="H492" i="8"/>
  <c r="G492" i="8"/>
  <c r="F492" i="8"/>
  <c r="B492" i="8"/>
  <c r="A492" i="8"/>
  <c r="Q491" i="8"/>
  <c r="P491" i="8"/>
  <c r="O491" i="8"/>
  <c r="N491" i="8"/>
  <c r="M491" i="8"/>
  <c r="L491" i="8"/>
  <c r="K491" i="8"/>
  <c r="J491" i="8"/>
  <c r="I491" i="8"/>
  <c r="H491" i="8"/>
  <c r="G491" i="8"/>
  <c r="F491" i="8"/>
  <c r="B491" i="8"/>
  <c r="A491" i="8"/>
  <c r="Q490" i="8"/>
  <c r="P490" i="8"/>
  <c r="O490" i="8"/>
  <c r="N490" i="8"/>
  <c r="M490" i="8"/>
  <c r="L490" i="8"/>
  <c r="K490" i="8"/>
  <c r="J490" i="8"/>
  <c r="I490" i="8"/>
  <c r="H490" i="8"/>
  <c r="G490" i="8"/>
  <c r="F490" i="8"/>
  <c r="B490" i="8"/>
  <c r="A490" i="8"/>
  <c r="Q489" i="8"/>
  <c r="P489" i="8"/>
  <c r="O489" i="8"/>
  <c r="N489" i="8"/>
  <c r="M489" i="8"/>
  <c r="L489" i="8"/>
  <c r="K489" i="8"/>
  <c r="J489" i="8"/>
  <c r="I489" i="8"/>
  <c r="H489" i="8"/>
  <c r="G489" i="8"/>
  <c r="F489" i="8"/>
  <c r="B489" i="8"/>
  <c r="A489" i="8"/>
  <c r="Q488" i="8"/>
  <c r="P488" i="8"/>
  <c r="O488" i="8"/>
  <c r="N488" i="8"/>
  <c r="M488" i="8"/>
  <c r="L488" i="8"/>
  <c r="K488" i="8"/>
  <c r="J488" i="8"/>
  <c r="I488" i="8"/>
  <c r="H488" i="8"/>
  <c r="G488" i="8"/>
  <c r="F488" i="8"/>
  <c r="B488" i="8"/>
  <c r="A488" i="8"/>
  <c r="Q487" i="8"/>
  <c r="P487" i="8"/>
  <c r="O487" i="8"/>
  <c r="N487" i="8"/>
  <c r="M487" i="8"/>
  <c r="L487" i="8"/>
  <c r="K487" i="8"/>
  <c r="J487" i="8"/>
  <c r="I487" i="8"/>
  <c r="H487" i="8"/>
  <c r="G487" i="8"/>
  <c r="F487" i="8"/>
  <c r="B487" i="8"/>
  <c r="A487" i="8"/>
  <c r="Q486" i="8"/>
  <c r="P486" i="8"/>
  <c r="O486" i="8"/>
  <c r="N486" i="8"/>
  <c r="M486" i="8"/>
  <c r="L486" i="8"/>
  <c r="K486" i="8"/>
  <c r="J486" i="8"/>
  <c r="I486" i="8"/>
  <c r="H486" i="8"/>
  <c r="G486" i="8"/>
  <c r="F486" i="8"/>
  <c r="B486" i="8"/>
  <c r="A486" i="8"/>
  <c r="Q485" i="8"/>
  <c r="P485" i="8"/>
  <c r="O485" i="8"/>
  <c r="N485" i="8"/>
  <c r="M485" i="8"/>
  <c r="L485" i="8"/>
  <c r="K485" i="8"/>
  <c r="J485" i="8"/>
  <c r="I485" i="8"/>
  <c r="H485" i="8"/>
  <c r="G485" i="8"/>
  <c r="F485" i="8"/>
  <c r="B485" i="8"/>
  <c r="A485" i="8"/>
  <c r="Q484" i="8"/>
  <c r="P484" i="8"/>
  <c r="O484" i="8"/>
  <c r="N484" i="8"/>
  <c r="M484" i="8"/>
  <c r="L484" i="8"/>
  <c r="K484" i="8"/>
  <c r="J484" i="8"/>
  <c r="I484" i="8"/>
  <c r="H484" i="8"/>
  <c r="G484" i="8"/>
  <c r="F484" i="8"/>
  <c r="B484" i="8"/>
  <c r="A484" i="8"/>
  <c r="Q483" i="8"/>
  <c r="P483" i="8"/>
  <c r="O483" i="8"/>
  <c r="N483" i="8"/>
  <c r="M483" i="8"/>
  <c r="L483" i="8"/>
  <c r="K483" i="8"/>
  <c r="J483" i="8"/>
  <c r="I483" i="8"/>
  <c r="H483" i="8"/>
  <c r="G483" i="8"/>
  <c r="F483" i="8"/>
  <c r="B483" i="8"/>
  <c r="A483" i="8"/>
  <c r="Q482" i="8"/>
  <c r="P482" i="8"/>
  <c r="O482" i="8"/>
  <c r="N482" i="8"/>
  <c r="M482" i="8"/>
  <c r="L482" i="8"/>
  <c r="K482" i="8"/>
  <c r="J482" i="8"/>
  <c r="I482" i="8"/>
  <c r="H482" i="8"/>
  <c r="G482" i="8"/>
  <c r="F482" i="8"/>
  <c r="A482" i="8"/>
  <c r="Q481" i="8"/>
  <c r="P481" i="8"/>
  <c r="O481" i="8"/>
  <c r="N481" i="8"/>
  <c r="M481" i="8"/>
  <c r="L481" i="8"/>
  <c r="K481" i="8"/>
  <c r="J481" i="8"/>
  <c r="I481" i="8"/>
  <c r="H481" i="8"/>
  <c r="G481" i="8"/>
  <c r="F481" i="8"/>
  <c r="A481" i="8"/>
  <c r="Q480" i="8"/>
  <c r="P480" i="8"/>
  <c r="O480" i="8"/>
  <c r="N480" i="8"/>
  <c r="M480" i="8"/>
  <c r="L480" i="8"/>
  <c r="K480" i="8"/>
  <c r="J480" i="8"/>
  <c r="I480" i="8"/>
  <c r="H480" i="8"/>
  <c r="G480" i="8"/>
  <c r="F480" i="8"/>
  <c r="A480" i="8"/>
  <c r="Q479" i="8"/>
  <c r="P479" i="8"/>
  <c r="O479" i="8"/>
  <c r="N479" i="8"/>
  <c r="M479" i="8"/>
  <c r="L479" i="8"/>
  <c r="K479" i="8"/>
  <c r="J479" i="8"/>
  <c r="I479" i="8"/>
  <c r="H479" i="8"/>
  <c r="G479" i="8"/>
  <c r="F479" i="8"/>
  <c r="A479" i="8"/>
  <c r="Q478" i="8"/>
  <c r="P478" i="8"/>
  <c r="O478" i="8"/>
  <c r="N478" i="8"/>
  <c r="M478" i="8"/>
  <c r="L478" i="8"/>
  <c r="K478" i="8"/>
  <c r="J478" i="8"/>
  <c r="I478" i="8"/>
  <c r="H478" i="8"/>
  <c r="G478" i="8"/>
  <c r="F478" i="8"/>
  <c r="B478" i="8"/>
  <c r="A478" i="8"/>
  <c r="Q477" i="8"/>
  <c r="P477" i="8"/>
  <c r="O477" i="8"/>
  <c r="N477" i="8"/>
  <c r="M477" i="8"/>
  <c r="L477" i="8"/>
  <c r="K477" i="8"/>
  <c r="J477" i="8"/>
  <c r="I477" i="8"/>
  <c r="H477" i="8"/>
  <c r="G477" i="8"/>
  <c r="F477" i="8"/>
  <c r="B477" i="8"/>
  <c r="A477" i="8"/>
  <c r="Q476" i="8"/>
  <c r="P476" i="8"/>
  <c r="O476" i="8"/>
  <c r="N476" i="8"/>
  <c r="M476" i="8"/>
  <c r="L476" i="8"/>
  <c r="K476" i="8"/>
  <c r="J476" i="8"/>
  <c r="I476" i="8"/>
  <c r="H476" i="8"/>
  <c r="G476" i="8"/>
  <c r="F476" i="8"/>
  <c r="B476" i="8"/>
  <c r="A476" i="8"/>
  <c r="Q475" i="8"/>
  <c r="P475" i="8"/>
  <c r="O475" i="8"/>
  <c r="N475" i="8"/>
  <c r="M475" i="8"/>
  <c r="L475" i="8"/>
  <c r="K475" i="8"/>
  <c r="J475" i="8"/>
  <c r="I475" i="8"/>
  <c r="H475" i="8"/>
  <c r="G475" i="8"/>
  <c r="F475" i="8"/>
  <c r="B475" i="8"/>
  <c r="A475" i="8"/>
  <c r="Q474" i="8"/>
  <c r="P474" i="8"/>
  <c r="O474" i="8"/>
  <c r="N474" i="8"/>
  <c r="M474" i="8"/>
  <c r="L474" i="8"/>
  <c r="K474" i="8"/>
  <c r="J474" i="8"/>
  <c r="I474" i="8"/>
  <c r="H474" i="8"/>
  <c r="G474" i="8"/>
  <c r="F474" i="8"/>
  <c r="B474" i="8"/>
  <c r="A474" i="8"/>
  <c r="Q473" i="8"/>
  <c r="P473" i="8"/>
  <c r="O473" i="8"/>
  <c r="N473" i="8"/>
  <c r="M473" i="8"/>
  <c r="L473" i="8"/>
  <c r="K473" i="8"/>
  <c r="J473" i="8"/>
  <c r="I473" i="8"/>
  <c r="H473" i="8"/>
  <c r="G473" i="8"/>
  <c r="F473" i="8"/>
  <c r="B473" i="8"/>
  <c r="A473" i="8"/>
  <c r="Q472" i="8"/>
  <c r="P472" i="8"/>
  <c r="O472" i="8"/>
  <c r="N472" i="8"/>
  <c r="M472" i="8"/>
  <c r="L472" i="8"/>
  <c r="K472" i="8"/>
  <c r="J472" i="8"/>
  <c r="I472" i="8"/>
  <c r="H472" i="8"/>
  <c r="G472" i="8"/>
  <c r="F472" i="8"/>
  <c r="B472" i="8"/>
  <c r="A472" i="8"/>
  <c r="Q471" i="8"/>
  <c r="P471" i="8"/>
  <c r="O471" i="8"/>
  <c r="N471" i="8"/>
  <c r="M471" i="8"/>
  <c r="L471" i="8"/>
  <c r="K471" i="8"/>
  <c r="J471" i="8"/>
  <c r="I471" i="8"/>
  <c r="H471" i="8"/>
  <c r="G471" i="8"/>
  <c r="F471" i="8"/>
  <c r="B471" i="8"/>
  <c r="A471" i="8"/>
  <c r="Q470" i="8"/>
  <c r="P470" i="8"/>
  <c r="O470" i="8"/>
  <c r="N470" i="8"/>
  <c r="M470" i="8"/>
  <c r="L470" i="8"/>
  <c r="K470" i="8"/>
  <c r="J470" i="8"/>
  <c r="I470" i="8"/>
  <c r="H470" i="8"/>
  <c r="G470" i="8"/>
  <c r="F470" i="8"/>
  <c r="B470" i="8"/>
  <c r="A470" i="8"/>
  <c r="Q469" i="8"/>
  <c r="P469" i="8"/>
  <c r="O469" i="8"/>
  <c r="N469" i="8"/>
  <c r="M469" i="8"/>
  <c r="L469" i="8"/>
  <c r="K469" i="8"/>
  <c r="J469" i="8"/>
  <c r="I469" i="8"/>
  <c r="H469" i="8"/>
  <c r="G469" i="8"/>
  <c r="F469" i="8"/>
  <c r="B469" i="8"/>
  <c r="A469" i="8"/>
  <c r="Q468" i="8"/>
  <c r="P468" i="8"/>
  <c r="O468" i="8"/>
  <c r="N468" i="8"/>
  <c r="M468" i="8"/>
  <c r="L468" i="8"/>
  <c r="K468" i="8"/>
  <c r="J468" i="8"/>
  <c r="I468" i="8"/>
  <c r="H468" i="8"/>
  <c r="G468" i="8"/>
  <c r="F468" i="8"/>
  <c r="B468" i="8"/>
  <c r="A468" i="8"/>
  <c r="Q467" i="8"/>
  <c r="P467" i="8"/>
  <c r="O467" i="8"/>
  <c r="N467" i="8"/>
  <c r="M467" i="8"/>
  <c r="L467" i="8"/>
  <c r="K467" i="8"/>
  <c r="J467" i="8"/>
  <c r="I467" i="8"/>
  <c r="H467" i="8"/>
  <c r="G467" i="8"/>
  <c r="F467" i="8"/>
  <c r="B467" i="8"/>
  <c r="A467" i="8"/>
  <c r="Q466" i="8"/>
  <c r="P466" i="8"/>
  <c r="O466" i="8"/>
  <c r="N466" i="8"/>
  <c r="M466" i="8"/>
  <c r="L466" i="8"/>
  <c r="K466" i="8"/>
  <c r="J466" i="8"/>
  <c r="I466" i="8"/>
  <c r="H466" i="8"/>
  <c r="G466" i="8"/>
  <c r="F466" i="8"/>
  <c r="B466" i="8"/>
  <c r="A466" i="8"/>
  <c r="Q465" i="8"/>
  <c r="P465" i="8"/>
  <c r="O465" i="8"/>
  <c r="N465" i="8"/>
  <c r="M465" i="8"/>
  <c r="L465" i="8"/>
  <c r="K465" i="8"/>
  <c r="J465" i="8"/>
  <c r="I465" i="8"/>
  <c r="H465" i="8"/>
  <c r="G465" i="8"/>
  <c r="F465" i="8"/>
  <c r="B465" i="8"/>
  <c r="A465" i="8"/>
  <c r="Q464" i="8"/>
  <c r="P464" i="8"/>
  <c r="O464" i="8"/>
  <c r="N464" i="8"/>
  <c r="M464" i="8"/>
  <c r="L464" i="8"/>
  <c r="K464" i="8"/>
  <c r="J464" i="8"/>
  <c r="I464" i="8"/>
  <c r="H464" i="8"/>
  <c r="G464" i="8"/>
  <c r="F464" i="8"/>
  <c r="B464" i="8"/>
  <c r="A464" i="8"/>
  <c r="Q463" i="8"/>
  <c r="P463" i="8"/>
  <c r="O463" i="8"/>
  <c r="N463" i="8"/>
  <c r="M463" i="8"/>
  <c r="L463" i="8"/>
  <c r="K463" i="8"/>
  <c r="J463" i="8"/>
  <c r="I463" i="8"/>
  <c r="H463" i="8"/>
  <c r="G463" i="8"/>
  <c r="F463" i="8"/>
  <c r="B463" i="8"/>
  <c r="A463" i="8"/>
  <c r="Q462" i="8"/>
  <c r="P462" i="8"/>
  <c r="O462" i="8"/>
  <c r="N462" i="8"/>
  <c r="M462" i="8"/>
  <c r="L462" i="8"/>
  <c r="K462" i="8"/>
  <c r="J462" i="8"/>
  <c r="I462" i="8"/>
  <c r="H462" i="8"/>
  <c r="G462" i="8"/>
  <c r="F462" i="8"/>
  <c r="B462" i="8"/>
  <c r="A462" i="8"/>
  <c r="Q461" i="8"/>
  <c r="P461" i="8"/>
  <c r="O461" i="8"/>
  <c r="N461" i="8"/>
  <c r="M461" i="8"/>
  <c r="L461" i="8"/>
  <c r="K461" i="8"/>
  <c r="J461" i="8"/>
  <c r="I461" i="8"/>
  <c r="H461" i="8"/>
  <c r="G461" i="8"/>
  <c r="F461" i="8"/>
  <c r="B461" i="8"/>
  <c r="A461" i="8"/>
  <c r="Q460" i="8"/>
  <c r="P460" i="8"/>
  <c r="O460" i="8"/>
  <c r="N460" i="8"/>
  <c r="M460" i="8"/>
  <c r="L460" i="8"/>
  <c r="K460" i="8"/>
  <c r="J460" i="8"/>
  <c r="I460" i="8"/>
  <c r="H460" i="8"/>
  <c r="G460" i="8"/>
  <c r="F460" i="8"/>
  <c r="B460" i="8"/>
  <c r="A460" i="8"/>
  <c r="Q459" i="8"/>
  <c r="P459" i="8"/>
  <c r="O459" i="8"/>
  <c r="N459" i="8"/>
  <c r="M459" i="8"/>
  <c r="L459" i="8"/>
  <c r="K459" i="8"/>
  <c r="J459" i="8"/>
  <c r="I459" i="8"/>
  <c r="H459" i="8"/>
  <c r="G459" i="8"/>
  <c r="F459" i="8"/>
  <c r="B459" i="8"/>
  <c r="A459" i="8"/>
  <c r="Q458" i="8"/>
  <c r="P458" i="8"/>
  <c r="O458" i="8"/>
  <c r="N458" i="8"/>
  <c r="M458" i="8"/>
  <c r="L458" i="8"/>
  <c r="K458" i="8"/>
  <c r="J458" i="8"/>
  <c r="I458" i="8"/>
  <c r="H458" i="8"/>
  <c r="G458" i="8"/>
  <c r="F458" i="8"/>
  <c r="A458" i="8"/>
  <c r="Q457" i="8"/>
  <c r="P457" i="8"/>
  <c r="O457" i="8"/>
  <c r="N457" i="8"/>
  <c r="M457" i="8"/>
  <c r="L457" i="8"/>
  <c r="K457" i="8"/>
  <c r="J457" i="8"/>
  <c r="I457" i="8"/>
  <c r="H457" i="8"/>
  <c r="G457" i="8"/>
  <c r="F457" i="8"/>
  <c r="A457" i="8"/>
  <c r="Q456" i="8"/>
  <c r="P456" i="8"/>
  <c r="O456" i="8"/>
  <c r="N456" i="8"/>
  <c r="M456" i="8"/>
  <c r="L456" i="8"/>
  <c r="K456" i="8"/>
  <c r="J456" i="8"/>
  <c r="I456" i="8"/>
  <c r="H456" i="8"/>
  <c r="G456" i="8"/>
  <c r="F456" i="8"/>
  <c r="A456" i="8"/>
  <c r="Q455" i="8"/>
  <c r="P455" i="8"/>
  <c r="O455" i="8"/>
  <c r="N455" i="8"/>
  <c r="M455" i="8"/>
  <c r="L455" i="8"/>
  <c r="K455" i="8"/>
  <c r="J455" i="8"/>
  <c r="I455" i="8"/>
  <c r="H455" i="8"/>
  <c r="G455" i="8"/>
  <c r="F455" i="8"/>
  <c r="A455" i="8"/>
  <c r="Q454" i="8"/>
  <c r="P454" i="8"/>
  <c r="O454" i="8"/>
  <c r="N454" i="8"/>
  <c r="M454" i="8"/>
  <c r="L454" i="8"/>
  <c r="K454" i="8"/>
  <c r="J454" i="8"/>
  <c r="I454" i="8"/>
  <c r="H454" i="8"/>
  <c r="G454" i="8"/>
  <c r="F454" i="8"/>
  <c r="B454" i="8"/>
  <c r="A454" i="8"/>
  <c r="Q453" i="8"/>
  <c r="P453" i="8"/>
  <c r="O453" i="8"/>
  <c r="N453" i="8"/>
  <c r="M453" i="8"/>
  <c r="L453" i="8"/>
  <c r="K453" i="8"/>
  <c r="J453" i="8"/>
  <c r="I453" i="8"/>
  <c r="H453" i="8"/>
  <c r="G453" i="8"/>
  <c r="F453" i="8"/>
  <c r="B453" i="8"/>
  <c r="A453" i="8"/>
  <c r="Q452" i="8"/>
  <c r="P452" i="8"/>
  <c r="O452" i="8"/>
  <c r="N452" i="8"/>
  <c r="M452" i="8"/>
  <c r="L452" i="8"/>
  <c r="K452" i="8"/>
  <c r="J452" i="8"/>
  <c r="I452" i="8"/>
  <c r="H452" i="8"/>
  <c r="G452" i="8"/>
  <c r="F452" i="8"/>
  <c r="B452" i="8"/>
  <c r="A452" i="8"/>
  <c r="Q451" i="8"/>
  <c r="P451" i="8"/>
  <c r="O451" i="8"/>
  <c r="N451" i="8"/>
  <c r="M451" i="8"/>
  <c r="L451" i="8"/>
  <c r="K451" i="8"/>
  <c r="J451" i="8"/>
  <c r="I451" i="8"/>
  <c r="H451" i="8"/>
  <c r="G451" i="8"/>
  <c r="F451" i="8"/>
  <c r="B451" i="8"/>
  <c r="A451" i="8"/>
  <c r="Q450" i="8"/>
  <c r="P450" i="8"/>
  <c r="O450" i="8"/>
  <c r="N450" i="8"/>
  <c r="M450" i="8"/>
  <c r="L450" i="8"/>
  <c r="K450" i="8"/>
  <c r="J450" i="8"/>
  <c r="I450" i="8"/>
  <c r="H450" i="8"/>
  <c r="G450" i="8"/>
  <c r="F450" i="8"/>
  <c r="B450" i="8"/>
  <c r="A450" i="8"/>
  <c r="Q449" i="8"/>
  <c r="P449" i="8"/>
  <c r="O449" i="8"/>
  <c r="N449" i="8"/>
  <c r="M449" i="8"/>
  <c r="L449" i="8"/>
  <c r="K449" i="8"/>
  <c r="J449" i="8"/>
  <c r="I449" i="8"/>
  <c r="H449" i="8"/>
  <c r="G449" i="8"/>
  <c r="F449" i="8"/>
  <c r="B449" i="8"/>
  <c r="A449" i="8"/>
  <c r="Q448" i="8"/>
  <c r="P448" i="8"/>
  <c r="O448" i="8"/>
  <c r="N448" i="8"/>
  <c r="M448" i="8"/>
  <c r="L448" i="8"/>
  <c r="K448" i="8"/>
  <c r="J448" i="8"/>
  <c r="I448" i="8"/>
  <c r="H448" i="8"/>
  <c r="G448" i="8"/>
  <c r="F448" i="8"/>
  <c r="B448" i="8"/>
  <c r="A448" i="8"/>
  <c r="Q447" i="8"/>
  <c r="P447" i="8"/>
  <c r="O447" i="8"/>
  <c r="N447" i="8"/>
  <c r="M447" i="8"/>
  <c r="L447" i="8"/>
  <c r="K447" i="8"/>
  <c r="J447" i="8"/>
  <c r="I447" i="8"/>
  <c r="H447" i="8"/>
  <c r="G447" i="8"/>
  <c r="F447" i="8"/>
  <c r="B447" i="8"/>
  <c r="A447" i="8"/>
  <c r="Q446" i="8"/>
  <c r="P446" i="8"/>
  <c r="O446" i="8"/>
  <c r="N446" i="8"/>
  <c r="M446" i="8"/>
  <c r="L446" i="8"/>
  <c r="K446" i="8"/>
  <c r="J446" i="8"/>
  <c r="I446" i="8"/>
  <c r="H446" i="8"/>
  <c r="G446" i="8"/>
  <c r="F446" i="8"/>
  <c r="B446" i="8"/>
  <c r="A446" i="8"/>
  <c r="Q445" i="8"/>
  <c r="P445" i="8"/>
  <c r="O445" i="8"/>
  <c r="N445" i="8"/>
  <c r="M445" i="8"/>
  <c r="L445" i="8"/>
  <c r="K445" i="8"/>
  <c r="J445" i="8"/>
  <c r="I445" i="8"/>
  <c r="H445" i="8"/>
  <c r="G445" i="8"/>
  <c r="F445" i="8"/>
  <c r="B445" i="8"/>
  <c r="A445" i="8"/>
  <c r="Q444" i="8"/>
  <c r="P444" i="8"/>
  <c r="O444" i="8"/>
  <c r="N444" i="8"/>
  <c r="M444" i="8"/>
  <c r="L444" i="8"/>
  <c r="K444" i="8"/>
  <c r="J444" i="8"/>
  <c r="I444" i="8"/>
  <c r="H444" i="8"/>
  <c r="G444" i="8"/>
  <c r="F444" i="8"/>
  <c r="B444" i="8"/>
  <c r="A444" i="8"/>
  <c r="Q443" i="8"/>
  <c r="P443" i="8"/>
  <c r="O443" i="8"/>
  <c r="N443" i="8"/>
  <c r="M443" i="8"/>
  <c r="L443" i="8"/>
  <c r="K443" i="8"/>
  <c r="J443" i="8"/>
  <c r="I443" i="8"/>
  <c r="H443" i="8"/>
  <c r="G443" i="8"/>
  <c r="F443" i="8"/>
  <c r="B443" i="8"/>
  <c r="A443" i="8"/>
  <c r="Q442" i="8"/>
  <c r="P442" i="8"/>
  <c r="O442" i="8"/>
  <c r="N442" i="8"/>
  <c r="M442" i="8"/>
  <c r="L442" i="8"/>
  <c r="K442" i="8"/>
  <c r="J442" i="8"/>
  <c r="I442" i="8"/>
  <c r="H442" i="8"/>
  <c r="G442" i="8"/>
  <c r="F442" i="8"/>
  <c r="B442" i="8"/>
  <c r="A442" i="8"/>
  <c r="Q441" i="8"/>
  <c r="P441" i="8"/>
  <c r="O441" i="8"/>
  <c r="N441" i="8"/>
  <c r="M441" i="8"/>
  <c r="L441" i="8"/>
  <c r="K441" i="8"/>
  <c r="J441" i="8"/>
  <c r="I441" i="8"/>
  <c r="H441" i="8"/>
  <c r="G441" i="8"/>
  <c r="F441" i="8"/>
  <c r="B441" i="8"/>
  <c r="A441" i="8"/>
  <c r="Q440" i="8"/>
  <c r="P440" i="8"/>
  <c r="O440" i="8"/>
  <c r="N440" i="8"/>
  <c r="M440" i="8"/>
  <c r="L440" i="8"/>
  <c r="K440" i="8"/>
  <c r="J440" i="8"/>
  <c r="I440" i="8"/>
  <c r="H440" i="8"/>
  <c r="G440" i="8"/>
  <c r="F440" i="8"/>
  <c r="B440" i="8"/>
  <c r="A440" i="8"/>
  <c r="Q439" i="8"/>
  <c r="P439" i="8"/>
  <c r="O439" i="8"/>
  <c r="N439" i="8"/>
  <c r="M439" i="8"/>
  <c r="L439" i="8"/>
  <c r="K439" i="8"/>
  <c r="J439" i="8"/>
  <c r="I439" i="8"/>
  <c r="H439" i="8"/>
  <c r="G439" i="8"/>
  <c r="F439" i="8"/>
  <c r="B439" i="8"/>
  <c r="A439" i="8"/>
  <c r="Q438" i="8"/>
  <c r="P438" i="8"/>
  <c r="O438" i="8"/>
  <c r="N438" i="8"/>
  <c r="M438" i="8"/>
  <c r="L438" i="8"/>
  <c r="K438" i="8"/>
  <c r="J438" i="8"/>
  <c r="I438" i="8"/>
  <c r="H438" i="8"/>
  <c r="G438" i="8"/>
  <c r="F438" i="8"/>
  <c r="B438" i="8"/>
  <c r="A438" i="8"/>
  <c r="Q437" i="8"/>
  <c r="P437" i="8"/>
  <c r="O437" i="8"/>
  <c r="N437" i="8"/>
  <c r="M437" i="8"/>
  <c r="L437" i="8"/>
  <c r="K437" i="8"/>
  <c r="J437" i="8"/>
  <c r="I437" i="8"/>
  <c r="H437" i="8"/>
  <c r="G437" i="8"/>
  <c r="F437" i="8"/>
  <c r="B437" i="8"/>
  <c r="A437" i="8"/>
  <c r="Q436" i="8"/>
  <c r="P436" i="8"/>
  <c r="O436" i="8"/>
  <c r="N436" i="8"/>
  <c r="M436" i="8"/>
  <c r="L436" i="8"/>
  <c r="K436" i="8"/>
  <c r="J436" i="8"/>
  <c r="I436" i="8"/>
  <c r="H436" i="8"/>
  <c r="G436" i="8"/>
  <c r="F436" i="8"/>
  <c r="B436" i="8"/>
  <c r="A436" i="8"/>
  <c r="Q435" i="8"/>
  <c r="P435" i="8"/>
  <c r="O435" i="8"/>
  <c r="N435" i="8"/>
  <c r="M435" i="8"/>
  <c r="L435" i="8"/>
  <c r="K435" i="8"/>
  <c r="J435" i="8"/>
  <c r="I435" i="8"/>
  <c r="H435" i="8"/>
  <c r="G435" i="8"/>
  <c r="F435" i="8"/>
  <c r="B435" i="8"/>
  <c r="A435" i="8"/>
  <c r="Q434" i="8"/>
  <c r="P434" i="8"/>
  <c r="O434" i="8"/>
  <c r="N434" i="8"/>
  <c r="M434" i="8"/>
  <c r="L434" i="8"/>
  <c r="K434" i="8"/>
  <c r="J434" i="8"/>
  <c r="I434" i="8"/>
  <c r="H434" i="8"/>
  <c r="G434" i="8"/>
  <c r="F434" i="8"/>
  <c r="A434" i="8"/>
  <c r="Q433" i="8"/>
  <c r="P433" i="8"/>
  <c r="O433" i="8"/>
  <c r="N433" i="8"/>
  <c r="M433" i="8"/>
  <c r="L433" i="8"/>
  <c r="K433" i="8"/>
  <c r="J433" i="8"/>
  <c r="I433" i="8"/>
  <c r="H433" i="8"/>
  <c r="G433" i="8"/>
  <c r="F433" i="8"/>
  <c r="A433" i="8"/>
  <c r="Q432" i="8"/>
  <c r="P432" i="8"/>
  <c r="O432" i="8"/>
  <c r="N432" i="8"/>
  <c r="M432" i="8"/>
  <c r="L432" i="8"/>
  <c r="K432" i="8"/>
  <c r="J432" i="8"/>
  <c r="I432" i="8"/>
  <c r="H432" i="8"/>
  <c r="G432" i="8"/>
  <c r="F432" i="8"/>
  <c r="A432" i="8"/>
  <c r="Q431" i="8"/>
  <c r="P431" i="8"/>
  <c r="O431" i="8"/>
  <c r="N431" i="8"/>
  <c r="M431" i="8"/>
  <c r="L431" i="8"/>
  <c r="K431" i="8"/>
  <c r="J431" i="8"/>
  <c r="I431" i="8"/>
  <c r="H431" i="8"/>
  <c r="G431" i="8"/>
  <c r="F431" i="8"/>
  <c r="A431" i="8"/>
  <c r="Q430" i="8"/>
  <c r="P430" i="8"/>
  <c r="O430" i="8"/>
  <c r="N430" i="8"/>
  <c r="M430" i="8"/>
  <c r="L430" i="8"/>
  <c r="K430" i="8"/>
  <c r="J430" i="8"/>
  <c r="I430" i="8"/>
  <c r="H430" i="8"/>
  <c r="G430" i="8"/>
  <c r="F430" i="8"/>
  <c r="B430" i="8"/>
  <c r="A430" i="8"/>
  <c r="Q429" i="8"/>
  <c r="P429" i="8"/>
  <c r="O429" i="8"/>
  <c r="N429" i="8"/>
  <c r="M429" i="8"/>
  <c r="L429" i="8"/>
  <c r="K429" i="8"/>
  <c r="J429" i="8"/>
  <c r="I429" i="8"/>
  <c r="H429" i="8"/>
  <c r="G429" i="8"/>
  <c r="F429" i="8"/>
  <c r="B429" i="8"/>
  <c r="A429" i="8"/>
  <c r="Q428" i="8"/>
  <c r="P428" i="8"/>
  <c r="O428" i="8"/>
  <c r="N428" i="8"/>
  <c r="M428" i="8"/>
  <c r="L428" i="8"/>
  <c r="K428" i="8"/>
  <c r="J428" i="8"/>
  <c r="I428" i="8"/>
  <c r="H428" i="8"/>
  <c r="G428" i="8"/>
  <c r="F428" i="8"/>
  <c r="B428" i="8"/>
  <c r="A428" i="8"/>
  <c r="Q427" i="8"/>
  <c r="P427" i="8"/>
  <c r="O427" i="8"/>
  <c r="N427" i="8"/>
  <c r="M427" i="8"/>
  <c r="L427" i="8"/>
  <c r="K427" i="8"/>
  <c r="J427" i="8"/>
  <c r="I427" i="8"/>
  <c r="H427" i="8"/>
  <c r="G427" i="8"/>
  <c r="F427" i="8"/>
  <c r="B427" i="8"/>
  <c r="A427" i="8"/>
  <c r="Q426" i="8"/>
  <c r="P426" i="8"/>
  <c r="O426" i="8"/>
  <c r="N426" i="8"/>
  <c r="M426" i="8"/>
  <c r="L426" i="8"/>
  <c r="K426" i="8"/>
  <c r="J426" i="8"/>
  <c r="I426" i="8"/>
  <c r="H426" i="8"/>
  <c r="G426" i="8"/>
  <c r="F426" i="8"/>
  <c r="B426" i="8"/>
  <c r="A426" i="8"/>
  <c r="Q425" i="8"/>
  <c r="P425" i="8"/>
  <c r="O425" i="8"/>
  <c r="N425" i="8"/>
  <c r="M425" i="8"/>
  <c r="L425" i="8"/>
  <c r="K425" i="8"/>
  <c r="J425" i="8"/>
  <c r="I425" i="8"/>
  <c r="H425" i="8"/>
  <c r="G425" i="8"/>
  <c r="F425" i="8"/>
  <c r="B425" i="8"/>
  <c r="A425" i="8"/>
  <c r="Q424" i="8"/>
  <c r="P424" i="8"/>
  <c r="O424" i="8"/>
  <c r="N424" i="8"/>
  <c r="M424" i="8"/>
  <c r="L424" i="8"/>
  <c r="K424" i="8"/>
  <c r="J424" i="8"/>
  <c r="I424" i="8"/>
  <c r="H424" i="8"/>
  <c r="G424" i="8"/>
  <c r="F424" i="8"/>
  <c r="B424" i="8"/>
  <c r="A424" i="8"/>
  <c r="Q423" i="8"/>
  <c r="P423" i="8"/>
  <c r="O423" i="8"/>
  <c r="N423" i="8"/>
  <c r="M423" i="8"/>
  <c r="L423" i="8"/>
  <c r="K423" i="8"/>
  <c r="J423" i="8"/>
  <c r="I423" i="8"/>
  <c r="H423" i="8"/>
  <c r="G423" i="8"/>
  <c r="F423" i="8"/>
  <c r="B423" i="8"/>
  <c r="A423" i="8"/>
  <c r="Q422" i="8"/>
  <c r="P422" i="8"/>
  <c r="O422" i="8"/>
  <c r="N422" i="8"/>
  <c r="M422" i="8"/>
  <c r="L422" i="8"/>
  <c r="K422" i="8"/>
  <c r="J422" i="8"/>
  <c r="I422" i="8"/>
  <c r="H422" i="8"/>
  <c r="G422" i="8"/>
  <c r="F422" i="8"/>
  <c r="B422" i="8"/>
  <c r="A422" i="8"/>
  <c r="Q421" i="8"/>
  <c r="P421" i="8"/>
  <c r="O421" i="8"/>
  <c r="N421" i="8"/>
  <c r="M421" i="8"/>
  <c r="L421" i="8"/>
  <c r="K421" i="8"/>
  <c r="J421" i="8"/>
  <c r="I421" i="8"/>
  <c r="H421" i="8"/>
  <c r="G421" i="8"/>
  <c r="F421" i="8"/>
  <c r="B421" i="8"/>
  <c r="A421" i="8"/>
  <c r="Q420" i="8"/>
  <c r="P420" i="8"/>
  <c r="O420" i="8"/>
  <c r="N420" i="8"/>
  <c r="M420" i="8"/>
  <c r="L420" i="8"/>
  <c r="K420" i="8"/>
  <c r="J420" i="8"/>
  <c r="I420" i="8"/>
  <c r="H420" i="8"/>
  <c r="G420" i="8"/>
  <c r="F420" i="8"/>
  <c r="B420" i="8"/>
  <c r="A420" i="8"/>
  <c r="Q419" i="8"/>
  <c r="P419" i="8"/>
  <c r="O419" i="8"/>
  <c r="N419" i="8"/>
  <c r="M419" i="8"/>
  <c r="L419" i="8"/>
  <c r="K419" i="8"/>
  <c r="J419" i="8"/>
  <c r="I419" i="8"/>
  <c r="H419" i="8"/>
  <c r="G419" i="8"/>
  <c r="F419" i="8"/>
  <c r="B419" i="8"/>
  <c r="A419" i="8"/>
  <c r="Q418" i="8"/>
  <c r="P418" i="8"/>
  <c r="O418" i="8"/>
  <c r="N418" i="8"/>
  <c r="M418" i="8"/>
  <c r="L418" i="8"/>
  <c r="K418" i="8"/>
  <c r="J418" i="8"/>
  <c r="I418" i="8"/>
  <c r="H418" i="8"/>
  <c r="G418" i="8"/>
  <c r="F418" i="8"/>
  <c r="B418" i="8"/>
  <c r="A418" i="8"/>
  <c r="Q417" i="8"/>
  <c r="P417" i="8"/>
  <c r="O417" i="8"/>
  <c r="N417" i="8"/>
  <c r="M417" i="8"/>
  <c r="L417" i="8"/>
  <c r="K417" i="8"/>
  <c r="J417" i="8"/>
  <c r="I417" i="8"/>
  <c r="H417" i="8"/>
  <c r="G417" i="8"/>
  <c r="F417" i="8"/>
  <c r="B417" i="8"/>
  <c r="A417" i="8"/>
  <c r="Q416" i="8"/>
  <c r="P416" i="8"/>
  <c r="O416" i="8"/>
  <c r="N416" i="8"/>
  <c r="M416" i="8"/>
  <c r="L416" i="8"/>
  <c r="K416" i="8"/>
  <c r="J416" i="8"/>
  <c r="I416" i="8"/>
  <c r="H416" i="8"/>
  <c r="G416" i="8"/>
  <c r="F416" i="8"/>
  <c r="B416" i="8"/>
  <c r="A416" i="8"/>
  <c r="Q415" i="8"/>
  <c r="P415" i="8"/>
  <c r="O415" i="8"/>
  <c r="N415" i="8"/>
  <c r="M415" i="8"/>
  <c r="L415" i="8"/>
  <c r="K415" i="8"/>
  <c r="J415" i="8"/>
  <c r="I415" i="8"/>
  <c r="H415" i="8"/>
  <c r="G415" i="8"/>
  <c r="F415" i="8"/>
  <c r="B415" i="8"/>
  <c r="A415" i="8"/>
  <c r="Q414" i="8"/>
  <c r="P414" i="8"/>
  <c r="O414" i="8"/>
  <c r="N414" i="8"/>
  <c r="M414" i="8"/>
  <c r="L414" i="8"/>
  <c r="K414" i="8"/>
  <c r="J414" i="8"/>
  <c r="I414" i="8"/>
  <c r="H414" i="8"/>
  <c r="G414" i="8"/>
  <c r="F414" i="8"/>
  <c r="B414" i="8"/>
  <c r="A414" i="8"/>
  <c r="Q413" i="8"/>
  <c r="P413" i="8"/>
  <c r="O413" i="8"/>
  <c r="N413" i="8"/>
  <c r="M413" i="8"/>
  <c r="L413" i="8"/>
  <c r="K413" i="8"/>
  <c r="J413" i="8"/>
  <c r="I413" i="8"/>
  <c r="H413" i="8"/>
  <c r="G413" i="8"/>
  <c r="F413" i="8"/>
  <c r="B413" i="8"/>
  <c r="A413" i="8"/>
  <c r="Q412" i="8"/>
  <c r="P412" i="8"/>
  <c r="O412" i="8"/>
  <c r="N412" i="8"/>
  <c r="M412" i="8"/>
  <c r="L412" i="8"/>
  <c r="K412" i="8"/>
  <c r="J412" i="8"/>
  <c r="I412" i="8"/>
  <c r="H412" i="8"/>
  <c r="G412" i="8"/>
  <c r="F412" i="8"/>
  <c r="B412" i="8"/>
  <c r="A412" i="8"/>
  <c r="Q411" i="8"/>
  <c r="P411" i="8"/>
  <c r="O411" i="8"/>
  <c r="N411" i="8"/>
  <c r="M411" i="8"/>
  <c r="L411" i="8"/>
  <c r="K411" i="8"/>
  <c r="J411" i="8"/>
  <c r="I411" i="8"/>
  <c r="H411" i="8"/>
  <c r="G411" i="8"/>
  <c r="F411" i="8"/>
  <c r="B411" i="8"/>
  <c r="A411" i="8"/>
  <c r="Q410" i="8"/>
  <c r="P410" i="8"/>
  <c r="O410" i="8"/>
  <c r="N410" i="8"/>
  <c r="M410" i="8"/>
  <c r="L410" i="8"/>
  <c r="K410" i="8"/>
  <c r="J410" i="8"/>
  <c r="I410" i="8"/>
  <c r="H410" i="8"/>
  <c r="G410" i="8"/>
  <c r="F410" i="8"/>
  <c r="A410" i="8"/>
  <c r="Q409" i="8"/>
  <c r="P409" i="8"/>
  <c r="O409" i="8"/>
  <c r="N409" i="8"/>
  <c r="M409" i="8"/>
  <c r="L409" i="8"/>
  <c r="K409" i="8"/>
  <c r="J409" i="8"/>
  <c r="I409" i="8"/>
  <c r="H409" i="8"/>
  <c r="G409" i="8"/>
  <c r="F409" i="8"/>
  <c r="A409" i="8"/>
  <c r="Q408" i="8"/>
  <c r="P408" i="8"/>
  <c r="O408" i="8"/>
  <c r="N408" i="8"/>
  <c r="M408" i="8"/>
  <c r="L408" i="8"/>
  <c r="K408" i="8"/>
  <c r="J408" i="8"/>
  <c r="I408" i="8"/>
  <c r="H408" i="8"/>
  <c r="G408" i="8"/>
  <c r="F408" i="8"/>
  <c r="A408" i="8"/>
  <c r="Q407" i="8"/>
  <c r="P407" i="8"/>
  <c r="O407" i="8"/>
  <c r="N407" i="8"/>
  <c r="M407" i="8"/>
  <c r="L407" i="8"/>
  <c r="K407" i="8"/>
  <c r="J407" i="8"/>
  <c r="I407" i="8"/>
  <c r="H407" i="8"/>
  <c r="G407" i="8"/>
  <c r="F407" i="8"/>
  <c r="A407" i="8"/>
  <c r="Q406" i="8"/>
  <c r="P406" i="8"/>
  <c r="O406" i="8"/>
  <c r="N406" i="8"/>
  <c r="M406" i="8"/>
  <c r="L406" i="8"/>
  <c r="K406" i="8"/>
  <c r="J406" i="8"/>
  <c r="I406" i="8"/>
  <c r="H406" i="8"/>
  <c r="G406" i="8"/>
  <c r="F406" i="8"/>
  <c r="B406" i="8"/>
  <c r="A406" i="8"/>
  <c r="Q405" i="8"/>
  <c r="P405" i="8"/>
  <c r="O405" i="8"/>
  <c r="N405" i="8"/>
  <c r="M405" i="8"/>
  <c r="L405" i="8"/>
  <c r="K405" i="8"/>
  <c r="J405" i="8"/>
  <c r="I405" i="8"/>
  <c r="H405" i="8"/>
  <c r="G405" i="8"/>
  <c r="F405" i="8"/>
  <c r="B405" i="8"/>
  <c r="A405" i="8"/>
  <c r="Q404" i="8"/>
  <c r="P404" i="8"/>
  <c r="O404" i="8"/>
  <c r="N404" i="8"/>
  <c r="M404" i="8"/>
  <c r="L404" i="8"/>
  <c r="K404" i="8"/>
  <c r="J404" i="8"/>
  <c r="I404" i="8"/>
  <c r="H404" i="8"/>
  <c r="G404" i="8"/>
  <c r="F404" i="8"/>
  <c r="B404" i="8"/>
  <c r="A404" i="8"/>
  <c r="Q403" i="8"/>
  <c r="P403" i="8"/>
  <c r="O403" i="8"/>
  <c r="N403" i="8"/>
  <c r="M403" i="8"/>
  <c r="L403" i="8"/>
  <c r="K403" i="8"/>
  <c r="J403" i="8"/>
  <c r="I403" i="8"/>
  <c r="H403" i="8"/>
  <c r="G403" i="8"/>
  <c r="F403" i="8"/>
  <c r="B403" i="8"/>
  <c r="A403" i="8"/>
  <c r="Q402" i="8"/>
  <c r="P402" i="8"/>
  <c r="O402" i="8"/>
  <c r="N402" i="8"/>
  <c r="M402" i="8"/>
  <c r="L402" i="8"/>
  <c r="K402" i="8"/>
  <c r="J402" i="8"/>
  <c r="I402" i="8"/>
  <c r="H402" i="8"/>
  <c r="G402" i="8"/>
  <c r="F402" i="8"/>
  <c r="B402" i="8"/>
  <c r="A402" i="8"/>
  <c r="Q401" i="8"/>
  <c r="P401" i="8"/>
  <c r="O401" i="8"/>
  <c r="N401" i="8"/>
  <c r="M401" i="8"/>
  <c r="L401" i="8"/>
  <c r="K401" i="8"/>
  <c r="J401" i="8"/>
  <c r="I401" i="8"/>
  <c r="H401" i="8"/>
  <c r="G401" i="8"/>
  <c r="F401" i="8"/>
  <c r="B401" i="8"/>
  <c r="A401" i="8"/>
  <c r="Q400" i="8"/>
  <c r="P400" i="8"/>
  <c r="O400" i="8"/>
  <c r="N400" i="8"/>
  <c r="M400" i="8"/>
  <c r="L400" i="8"/>
  <c r="K400" i="8"/>
  <c r="J400" i="8"/>
  <c r="I400" i="8"/>
  <c r="H400" i="8"/>
  <c r="G400" i="8"/>
  <c r="F400" i="8"/>
  <c r="B400" i="8"/>
  <c r="A400" i="8"/>
  <c r="Q399" i="8"/>
  <c r="P399" i="8"/>
  <c r="O399" i="8"/>
  <c r="N399" i="8"/>
  <c r="M399" i="8"/>
  <c r="L399" i="8"/>
  <c r="K399" i="8"/>
  <c r="J399" i="8"/>
  <c r="I399" i="8"/>
  <c r="H399" i="8"/>
  <c r="G399" i="8"/>
  <c r="F399" i="8"/>
  <c r="B399" i="8"/>
  <c r="A399" i="8"/>
  <c r="Q398" i="8"/>
  <c r="P398" i="8"/>
  <c r="O398" i="8"/>
  <c r="N398" i="8"/>
  <c r="M398" i="8"/>
  <c r="L398" i="8"/>
  <c r="K398" i="8"/>
  <c r="J398" i="8"/>
  <c r="I398" i="8"/>
  <c r="H398" i="8"/>
  <c r="G398" i="8"/>
  <c r="F398" i="8"/>
  <c r="B398" i="8"/>
  <c r="A398" i="8"/>
  <c r="Q397" i="8"/>
  <c r="P397" i="8"/>
  <c r="O397" i="8"/>
  <c r="N397" i="8"/>
  <c r="M397" i="8"/>
  <c r="L397" i="8"/>
  <c r="K397" i="8"/>
  <c r="J397" i="8"/>
  <c r="I397" i="8"/>
  <c r="H397" i="8"/>
  <c r="G397" i="8"/>
  <c r="F397" i="8"/>
  <c r="B397" i="8"/>
  <c r="A397" i="8"/>
  <c r="Q396" i="8"/>
  <c r="P396" i="8"/>
  <c r="O396" i="8"/>
  <c r="N396" i="8"/>
  <c r="M396" i="8"/>
  <c r="L396" i="8"/>
  <c r="K396" i="8"/>
  <c r="J396" i="8"/>
  <c r="I396" i="8"/>
  <c r="H396" i="8"/>
  <c r="G396" i="8"/>
  <c r="F396" i="8"/>
  <c r="B396" i="8"/>
  <c r="A396" i="8"/>
  <c r="Q395" i="8"/>
  <c r="P395" i="8"/>
  <c r="O395" i="8"/>
  <c r="N395" i="8"/>
  <c r="M395" i="8"/>
  <c r="L395" i="8"/>
  <c r="K395" i="8"/>
  <c r="J395" i="8"/>
  <c r="I395" i="8"/>
  <c r="H395" i="8"/>
  <c r="G395" i="8"/>
  <c r="F395" i="8"/>
  <c r="B395" i="8"/>
  <c r="A395" i="8"/>
  <c r="Q394" i="8"/>
  <c r="P394" i="8"/>
  <c r="O394" i="8"/>
  <c r="N394" i="8"/>
  <c r="M394" i="8"/>
  <c r="L394" i="8"/>
  <c r="K394" i="8"/>
  <c r="J394" i="8"/>
  <c r="I394" i="8"/>
  <c r="H394" i="8"/>
  <c r="G394" i="8"/>
  <c r="F394" i="8"/>
  <c r="B394" i="8"/>
  <c r="A394" i="8"/>
  <c r="Q393" i="8"/>
  <c r="P393" i="8"/>
  <c r="O393" i="8"/>
  <c r="N393" i="8"/>
  <c r="M393" i="8"/>
  <c r="L393" i="8"/>
  <c r="K393" i="8"/>
  <c r="J393" i="8"/>
  <c r="I393" i="8"/>
  <c r="H393" i="8"/>
  <c r="G393" i="8"/>
  <c r="F393" i="8"/>
  <c r="B393" i="8"/>
  <c r="A393" i="8"/>
  <c r="Q392" i="8"/>
  <c r="P392" i="8"/>
  <c r="O392" i="8"/>
  <c r="N392" i="8"/>
  <c r="M392" i="8"/>
  <c r="L392" i="8"/>
  <c r="K392" i="8"/>
  <c r="J392" i="8"/>
  <c r="I392" i="8"/>
  <c r="H392" i="8"/>
  <c r="G392" i="8"/>
  <c r="F392" i="8"/>
  <c r="B392" i="8"/>
  <c r="A392" i="8"/>
  <c r="Q391" i="8"/>
  <c r="P391" i="8"/>
  <c r="O391" i="8"/>
  <c r="N391" i="8"/>
  <c r="M391" i="8"/>
  <c r="L391" i="8"/>
  <c r="K391" i="8"/>
  <c r="J391" i="8"/>
  <c r="I391" i="8"/>
  <c r="H391" i="8"/>
  <c r="G391" i="8"/>
  <c r="F391" i="8"/>
  <c r="B391" i="8"/>
  <c r="A391" i="8"/>
  <c r="Q390" i="8"/>
  <c r="P390" i="8"/>
  <c r="O390" i="8"/>
  <c r="N390" i="8"/>
  <c r="M390" i="8"/>
  <c r="L390" i="8"/>
  <c r="K390" i="8"/>
  <c r="J390" i="8"/>
  <c r="I390" i="8"/>
  <c r="H390" i="8"/>
  <c r="G390" i="8"/>
  <c r="F390" i="8"/>
  <c r="B390" i="8"/>
  <c r="A390" i="8"/>
  <c r="Q389" i="8"/>
  <c r="P389" i="8"/>
  <c r="O389" i="8"/>
  <c r="N389" i="8"/>
  <c r="M389" i="8"/>
  <c r="L389" i="8"/>
  <c r="K389" i="8"/>
  <c r="J389" i="8"/>
  <c r="I389" i="8"/>
  <c r="H389" i="8"/>
  <c r="G389" i="8"/>
  <c r="F389" i="8"/>
  <c r="B389" i="8"/>
  <c r="A389" i="8"/>
  <c r="Q388" i="8"/>
  <c r="P388" i="8"/>
  <c r="O388" i="8"/>
  <c r="N388" i="8"/>
  <c r="M388" i="8"/>
  <c r="L388" i="8"/>
  <c r="K388" i="8"/>
  <c r="J388" i="8"/>
  <c r="I388" i="8"/>
  <c r="H388" i="8"/>
  <c r="G388" i="8"/>
  <c r="F388" i="8"/>
  <c r="B388" i="8"/>
  <c r="A388" i="8"/>
  <c r="Q387" i="8"/>
  <c r="P387" i="8"/>
  <c r="O387" i="8"/>
  <c r="N387" i="8"/>
  <c r="M387" i="8"/>
  <c r="L387" i="8"/>
  <c r="K387" i="8"/>
  <c r="J387" i="8"/>
  <c r="I387" i="8"/>
  <c r="H387" i="8"/>
  <c r="G387" i="8"/>
  <c r="F387" i="8"/>
  <c r="B387" i="8"/>
  <c r="A387" i="8"/>
  <c r="Q386" i="8"/>
  <c r="P386" i="8"/>
  <c r="O386" i="8"/>
  <c r="N386" i="8"/>
  <c r="M386" i="8"/>
  <c r="L386" i="8"/>
  <c r="K386" i="8"/>
  <c r="J386" i="8"/>
  <c r="I386" i="8"/>
  <c r="H386" i="8"/>
  <c r="G386" i="8"/>
  <c r="F386" i="8"/>
  <c r="A386" i="8"/>
  <c r="Q385" i="8"/>
  <c r="P385" i="8"/>
  <c r="O385" i="8"/>
  <c r="N385" i="8"/>
  <c r="M385" i="8"/>
  <c r="L385" i="8"/>
  <c r="K385" i="8"/>
  <c r="J385" i="8"/>
  <c r="I385" i="8"/>
  <c r="H385" i="8"/>
  <c r="G385" i="8"/>
  <c r="F385" i="8"/>
  <c r="A385" i="8"/>
  <c r="Q384" i="8"/>
  <c r="P384" i="8"/>
  <c r="O384" i="8"/>
  <c r="N384" i="8"/>
  <c r="M384" i="8"/>
  <c r="L384" i="8"/>
  <c r="K384" i="8"/>
  <c r="J384" i="8"/>
  <c r="I384" i="8"/>
  <c r="H384" i="8"/>
  <c r="G384" i="8"/>
  <c r="F384" i="8"/>
  <c r="A384" i="8"/>
  <c r="Q383" i="8"/>
  <c r="P383" i="8"/>
  <c r="O383" i="8"/>
  <c r="N383" i="8"/>
  <c r="M383" i="8"/>
  <c r="L383" i="8"/>
  <c r="K383" i="8"/>
  <c r="J383" i="8"/>
  <c r="I383" i="8"/>
  <c r="H383" i="8"/>
  <c r="G383" i="8"/>
  <c r="F383" i="8"/>
  <c r="A383" i="8"/>
  <c r="Q382" i="8"/>
  <c r="P382" i="8"/>
  <c r="O382" i="8"/>
  <c r="N382" i="8"/>
  <c r="M382" i="8"/>
  <c r="L382" i="8"/>
  <c r="K382" i="8"/>
  <c r="J382" i="8"/>
  <c r="I382" i="8"/>
  <c r="H382" i="8"/>
  <c r="G382" i="8"/>
  <c r="F382" i="8"/>
  <c r="B382" i="8"/>
  <c r="A382" i="8"/>
  <c r="Q381" i="8"/>
  <c r="P381" i="8"/>
  <c r="O381" i="8"/>
  <c r="N381" i="8"/>
  <c r="M381" i="8"/>
  <c r="L381" i="8"/>
  <c r="K381" i="8"/>
  <c r="J381" i="8"/>
  <c r="I381" i="8"/>
  <c r="H381" i="8"/>
  <c r="G381" i="8"/>
  <c r="F381" i="8"/>
  <c r="B381" i="8"/>
  <c r="A381" i="8"/>
  <c r="Q380" i="8"/>
  <c r="P380" i="8"/>
  <c r="O380" i="8"/>
  <c r="N380" i="8"/>
  <c r="M380" i="8"/>
  <c r="L380" i="8"/>
  <c r="K380" i="8"/>
  <c r="J380" i="8"/>
  <c r="I380" i="8"/>
  <c r="H380" i="8"/>
  <c r="G380" i="8"/>
  <c r="F380" i="8"/>
  <c r="B380" i="8"/>
  <c r="A380" i="8"/>
  <c r="Q379" i="8"/>
  <c r="P379" i="8"/>
  <c r="O379" i="8"/>
  <c r="N379" i="8"/>
  <c r="M379" i="8"/>
  <c r="L379" i="8"/>
  <c r="K379" i="8"/>
  <c r="J379" i="8"/>
  <c r="I379" i="8"/>
  <c r="H379" i="8"/>
  <c r="G379" i="8"/>
  <c r="F379" i="8"/>
  <c r="B379" i="8"/>
  <c r="A379" i="8"/>
  <c r="Q378" i="8"/>
  <c r="P378" i="8"/>
  <c r="O378" i="8"/>
  <c r="N378" i="8"/>
  <c r="M378" i="8"/>
  <c r="L378" i="8"/>
  <c r="K378" i="8"/>
  <c r="J378" i="8"/>
  <c r="I378" i="8"/>
  <c r="H378" i="8"/>
  <c r="G378" i="8"/>
  <c r="F378" i="8"/>
  <c r="B378" i="8"/>
  <c r="A378" i="8"/>
  <c r="Q377" i="8"/>
  <c r="P377" i="8"/>
  <c r="O377" i="8"/>
  <c r="N377" i="8"/>
  <c r="M377" i="8"/>
  <c r="L377" i="8"/>
  <c r="K377" i="8"/>
  <c r="J377" i="8"/>
  <c r="I377" i="8"/>
  <c r="H377" i="8"/>
  <c r="G377" i="8"/>
  <c r="F377" i="8"/>
  <c r="B377" i="8"/>
  <c r="A377" i="8"/>
  <c r="Q376" i="8"/>
  <c r="P376" i="8"/>
  <c r="O376" i="8"/>
  <c r="N376" i="8"/>
  <c r="M376" i="8"/>
  <c r="L376" i="8"/>
  <c r="K376" i="8"/>
  <c r="J376" i="8"/>
  <c r="I376" i="8"/>
  <c r="H376" i="8"/>
  <c r="G376" i="8"/>
  <c r="F376" i="8"/>
  <c r="B376" i="8"/>
  <c r="A376" i="8"/>
  <c r="Q375" i="8"/>
  <c r="P375" i="8"/>
  <c r="O375" i="8"/>
  <c r="N375" i="8"/>
  <c r="M375" i="8"/>
  <c r="L375" i="8"/>
  <c r="K375" i="8"/>
  <c r="J375" i="8"/>
  <c r="I375" i="8"/>
  <c r="H375" i="8"/>
  <c r="G375" i="8"/>
  <c r="F375" i="8"/>
  <c r="B375" i="8"/>
  <c r="A375" i="8"/>
  <c r="Q374" i="8"/>
  <c r="P374" i="8"/>
  <c r="O374" i="8"/>
  <c r="N374" i="8"/>
  <c r="M374" i="8"/>
  <c r="L374" i="8"/>
  <c r="K374" i="8"/>
  <c r="J374" i="8"/>
  <c r="I374" i="8"/>
  <c r="H374" i="8"/>
  <c r="G374" i="8"/>
  <c r="F374" i="8"/>
  <c r="B374" i="8"/>
  <c r="A374" i="8"/>
  <c r="Q373" i="8"/>
  <c r="P373" i="8"/>
  <c r="O373" i="8"/>
  <c r="N373" i="8"/>
  <c r="M373" i="8"/>
  <c r="L373" i="8"/>
  <c r="K373" i="8"/>
  <c r="J373" i="8"/>
  <c r="I373" i="8"/>
  <c r="H373" i="8"/>
  <c r="G373" i="8"/>
  <c r="F373" i="8"/>
  <c r="B373" i="8"/>
  <c r="A373" i="8"/>
  <c r="Q372" i="8"/>
  <c r="P372" i="8"/>
  <c r="O372" i="8"/>
  <c r="N372" i="8"/>
  <c r="M372" i="8"/>
  <c r="L372" i="8"/>
  <c r="K372" i="8"/>
  <c r="J372" i="8"/>
  <c r="I372" i="8"/>
  <c r="H372" i="8"/>
  <c r="G372" i="8"/>
  <c r="F372" i="8"/>
  <c r="B372" i="8"/>
  <c r="A372" i="8"/>
  <c r="Q371" i="8"/>
  <c r="P371" i="8"/>
  <c r="O371" i="8"/>
  <c r="N371" i="8"/>
  <c r="M371" i="8"/>
  <c r="L371" i="8"/>
  <c r="K371" i="8"/>
  <c r="J371" i="8"/>
  <c r="I371" i="8"/>
  <c r="H371" i="8"/>
  <c r="G371" i="8"/>
  <c r="F371" i="8"/>
  <c r="B371" i="8"/>
  <c r="A371" i="8"/>
  <c r="Q370" i="8"/>
  <c r="P370" i="8"/>
  <c r="O370" i="8"/>
  <c r="N370" i="8"/>
  <c r="M370" i="8"/>
  <c r="L370" i="8"/>
  <c r="K370" i="8"/>
  <c r="J370" i="8"/>
  <c r="I370" i="8"/>
  <c r="H370" i="8"/>
  <c r="G370" i="8"/>
  <c r="F370" i="8"/>
  <c r="B370" i="8"/>
  <c r="A370" i="8"/>
  <c r="Q369" i="8"/>
  <c r="P369" i="8"/>
  <c r="O369" i="8"/>
  <c r="N369" i="8"/>
  <c r="M369" i="8"/>
  <c r="L369" i="8"/>
  <c r="K369" i="8"/>
  <c r="J369" i="8"/>
  <c r="I369" i="8"/>
  <c r="H369" i="8"/>
  <c r="G369" i="8"/>
  <c r="F369" i="8"/>
  <c r="B369" i="8"/>
  <c r="A369" i="8"/>
  <c r="Q368" i="8"/>
  <c r="P368" i="8"/>
  <c r="O368" i="8"/>
  <c r="N368" i="8"/>
  <c r="M368" i="8"/>
  <c r="L368" i="8"/>
  <c r="K368" i="8"/>
  <c r="J368" i="8"/>
  <c r="I368" i="8"/>
  <c r="H368" i="8"/>
  <c r="G368" i="8"/>
  <c r="F368" i="8"/>
  <c r="B368" i="8"/>
  <c r="A368" i="8"/>
  <c r="Q367" i="8"/>
  <c r="P367" i="8"/>
  <c r="O367" i="8"/>
  <c r="N367" i="8"/>
  <c r="M367" i="8"/>
  <c r="L367" i="8"/>
  <c r="K367" i="8"/>
  <c r="J367" i="8"/>
  <c r="I367" i="8"/>
  <c r="H367" i="8"/>
  <c r="G367" i="8"/>
  <c r="F367" i="8"/>
  <c r="B367" i="8"/>
  <c r="A367" i="8"/>
  <c r="Q366" i="8"/>
  <c r="P366" i="8"/>
  <c r="O366" i="8"/>
  <c r="N366" i="8"/>
  <c r="M366" i="8"/>
  <c r="L366" i="8"/>
  <c r="K366" i="8"/>
  <c r="J366" i="8"/>
  <c r="I366" i="8"/>
  <c r="H366" i="8"/>
  <c r="G366" i="8"/>
  <c r="F366" i="8"/>
  <c r="B366" i="8"/>
  <c r="A366" i="8"/>
  <c r="Q365" i="8"/>
  <c r="P365" i="8"/>
  <c r="O365" i="8"/>
  <c r="N365" i="8"/>
  <c r="M365" i="8"/>
  <c r="L365" i="8"/>
  <c r="K365" i="8"/>
  <c r="J365" i="8"/>
  <c r="I365" i="8"/>
  <c r="H365" i="8"/>
  <c r="G365" i="8"/>
  <c r="F365" i="8"/>
  <c r="B365" i="8"/>
  <c r="A365" i="8"/>
  <c r="Q364" i="8"/>
  <c r="P364" i="8"/>
  <c r="O364" i="8"/>
  <c r="N364" i="8"/>
  <c r="M364" i="8"/>
  <c r="L364" i="8"/>
  <c r="K364" i="8"/>
  <c r="J364" i="8"/>
  <c r="I364" i="8"/>
  <c r="H364" i="8"/>
  <c r="G364" i="8"/>
  <c r="F364" i="8"/>
  <c r="B364" i="8"/>
  <c r="A364" i="8"/>
  <c r="Q363" i="8"/>
  <c r="P363" i="8"/>
  <c r="O363" i="8"/>
  <c r="N363" i="8"/>
  <c r="M363" i="8"/>
  <c r="L363" i="8"/>
  <c r="K363" i="8"/>
  <c r="J363" i="8"/>
  <c r="I363" i="8"/>
  <c r="H363" i="8"/>
  <c r="G363" i="8"/>
  <c r="F363" i="8"/>
  <c r="B363" i="8"/>
  <c r="A363" i="8"/>
  <c r="Q362" i="8"/>
  <c r="P362" i="8"/>
  <c r="O362" i="8"/>
  <c r="N362" i="8"/>
  <c r="M362" i="8"/>
  <c r="L362" i="8"/>
  <c r="K362" i="8"/>
  <c r="J362" i="8"/>
  <c r="I362" i="8"/>
  <c r="H362" i="8"/>
  <c r="G362" i="8"/>
  <c r="F362" i="8"/>
  <c r="A362" i="8"/>
  <c r="Q361" i="8"/>
  <c r="P361" i="8"/>
  <c r="O361" i="8"/>
  <c r="N361" i="8"/>
  <c r="M361" i="8"/>
  <c r="L361" i="8"/>
  <c r="K361" i="8"/>
  <c r="J361" i="8"/>
  <c r="I361" i="8"/>
  <c r="H361" i="8"/>
  <c r="G361" i="8"/>
  <c r="F361" i="8"/>
  <c r="A361" i="8"/>
  <c r="Q360" i="8"/>
  <c r="P360" i="8"/>
  <c r="O360" i="8"/>
  <c r="N360" i="8"/>
  <c r="M360" i="8"/>
  <c r="L360" i="8"/>
  <c r="K360" i="8"/>
  <c r="J360" i="8"/>
  <c r="I360" i="8"/>
  <c r="H360" i="8"/>
  <c r="G360" i="8"/>
  <c r="F360" i="8"/>
  <c r="A360" i="8"/>
  <c r="Q359" i="8"/>
  <c r="P359" i="8"/>
  <c r="O359" i="8"/>
  <c r="N359" i="8"/>
  <c r="M359" i="8"/>
  <c r="L359" i="8"/>
  <c r="K359" i="8"/>
  <c r="J359" i="8"/>
  <c r="I359" i="8"/>
  <c r="H359" i="8"/>
  <c r="G359" i="8"/>
  <c r="F359" i="8"/>
  <c r="A359" i="8"/>
  <c r="Q358" i="8"/>
  <c r="P358" i="8"/>
  <c r="O358" i="8"/>
  <c r="N358" i="8"/>
  <c r="M358" i="8"/>
  <c r="L358" i="8"/>
  <c r="K358" i="8"/>
  <c r="J358" i="8"/>
  <c r="I358" i="8"/>
  <c r="H358" i="8"/>
  <c r="G358" i="8"/>
  <c r="F358" i="8"/>
  <c r="B358" i="8"/>
  <c r="A358" i="8"/>
  <c r="Q357" i="8"/>
  <c r="P357" i="8"/>
  <c r="O357" i="8"/>
  <c r="N357" i="8"/>
  <c r="M357" i="8"/>
  <c r="L357" i="8"/>
  <c r="K357" i="8"/>
  <c r="J357" i="8"/>
  <c r="I357" i="8"/>
  <c r="H357" i="8"/>
  <c r="G357" i="8"/>
  <c r="F357" i="8"/>
  <c r="B357" i="8"/>
  <c r="A357" i="8"/>
  <c r="Q356" i="8"/>
  <c r="P356" i="8"/>
  <c r="O356" i="8"/>
  <c r="N356" i="8"/>
  <c r="M356" i="8"/>
  <c r="L356" i="8"/>
  <c r="K356" i="8"/>
  <c r="J356" i="8"/>
  <c r="I356" i="8"/>
  <c r="H356" i="8"/>
  <c r="G356" i="8"/>
  <c r="F356" i="8"/>
  <c r="B356" i="8"/>
  <c r="A356" i="8"/>
  <c r="Q355" i="8"/>
  <c r="P355" i="8"/>
  <c r="O355" i="8"/>
  <c r="N355" i="8"/>
  <c r="M355" i="8"/>
  <c r="L355" i="8"/>
  <c r="K355" i="8"/>
  <c r="J355" i="8"/>
  <c r="I355" i="8"/>
  <c r="H355" i="8"/>
  <c r="G355" i="8"/>
  <c r="F355" i="8"/>
  <c r="B355" i="8"/>
  <c r="A355" i="8"/>
  <c r="Q354" i="8"/>
  <c r="P354" i="8"/>
  <c r="O354" i="8"/>
  <c r="N354" i="8"/>
  <c r="M354" i="8"/>
  <c r="L354" i="8"/>
  <c r="K354" i="8"/>
  <c r="J354" i="8"/>
  <c r="I354" i="8"/>
  <c r="H354" i="8"/>
  <c r="G354" i="8"/>
  <c r="F354" i="8"/>
  <c r="B354" i="8"/>
  <c r="A354" i="8"/>
  <c r="Q353" i="8"/>
  <c r="P353" i="8"/>
  <c r="O353" i="8"/>
  <c r="N353" i="8"/>
  <c r="M353" i="8"/>
  <c r="L353" i="8"/>
  <c r="K353" i="8"/>
  <c r="J353" i="8"/>
  <c r="I353" i="8"/>
  <c r="H353" i="8"/>
  <c r="G353" i="8"/>
  <c r="F353" i="8"/>
  <c r="B353" i="8"/>
  <c r="A353" i="8"/>
  <c r="Q352" i="8"/>
  <c r="P352" i="8"/>
  <c r="O352" i="8"/>
  <c r="N352" i="8"/>
  <c r="M352" i="8"/>
  <c r="L352" i="8"/>
  <c r="K352" i="8"/>
  <c r="J352" i="8"/>
  <c r="I352" i="8"/>
  <c r="H352" i="8"/>
  <c r="G352" i="8"/>
  <c r="F352" i="8"/>
  <c r="B352" i="8"/>
  <c r="A352" i="8"/>
  <c r="Q351" i="8"/>
  <c r="P351" i="8"/>
  <c r="O351" i="8"/>
  <c r="N351" i="8"/>
  <c r="M351" i="8"/>
  <c r="L351" i="8"/>
  <c r="K351" i="8"/>
  <c r="J351" i="8"/>
  <c r="I351" i="8"/>
  <c r="H351" i="8"/>
  <c r="G351" i="8"/>
  <c r="F351" i="8"/>
  <c r="B351" i="8"/>
  <c r="A351" i="8"/>
  <c r="Q350" i="8"/>
  <c r="P350" i="8"/>
  <c r="O350" i="8"/>
  <c r="N350" i="8"/>
  <c r="M350" i="8"/>
  <c r="L350" i="8"/>
  <c r="K350" i="8"/>
  <c r="J350" i="8"/>
  <c r="I350" i="8"/>
  <c r="H350" i="8"/>
  <c r="G350" i="8"/>
  <c r="F350" i="8"/>
  <c r="B350" i="8"/>
  <c r="A350" i="8"/>
  <c r="Q349" i="8"/>
  <c r="P349" i="8"/>
  <c r="O349" i="8"/>
  <c r="N349" i="8"/>
  <c r="M349" i="8"/>
  <c r="L349" i="8"/>
  <c r="K349" i="8"/>
  <c r="J349" i="8"/>
  <c r="I349" i="8"/>
  <c r="H349" i="8"/>
  <c r="G349" i="8"/>
  <c r="F349" i="8"/>
  <c r="B349" i="8"/>
  <c r="A349" i="8"/>
  <c r="Q348" i="8"/>
  <c r="P348" i="8"/>
  <c r="O348" i="8"/>
  <c r="N348" i="8"/>
  <c r="M348" i="8"/>
  <c r="L348" i="8"/>
  <c r="K348" i="8"/>
  <c r="J348" i="8"/>
  <c r="I348" i="8"/>
  <c r="H348" i="8"/>
  <c r="G348" i="8"/>
  <c r="F348" i="8"/>
  <c r="B348" i="8"/>
  <c r="A348" i="8"/>
  <c r="Q347" i="8"/>
  <c r="P347" i="8"/>
  <c r="O347" i="8"/>
  <c r="N347" i="8"/>
  <c r="M347" i="8"/>
  <c r="L347" i="8"/>
  <c r="K347" i="8"/>
  <c r="J347" i="8"/>
  <c r="I347" i="8"/>
  <c r="H347" i="8"/>
  <c r="G347" i="8"/>
  <c r="F347" i="8"/>
  <c r="B347" i="8"/>
  <c r="A347" i="8"/>
  <c r="Q346" i="8"/>
  <c r="P346" i="8"/>
  <c r="O346" i="8"/>
  <c r="N346" i="8"/>
  <c r="M346" i="8"/>
  <c r="L346" i="8"/>
  <c r="K346" i="8"/>
  <c r="J346" i="8"/>
  <c r="I346" i="8"/>
  <c r="H346" i="8"/>
  <c r="G346" i="8"/>
  <c r="F346" i="8"/>
  <c r="B346" i="8"/>
  <c r="A346" i="8"/>
  <c r="Q345" i="8"/>
  <c r="P345" i="8"/>
  <c r="O345" i="8"/>
  <c r="N345" i="8"/>
  <c r="M345" i="8"/>
  <c r="L345" i="8"/>
  <c r="K345" i="8"/>
  <c r="J345" i="8"/>
  <c r="I345" i="8"/>
  <c r="H345" i="8"/>
  <c r="G345" i="8"/>
  <c r="F345" i="8"/>
  <c r="B345" i="8"/>
  <c r="A345" i="8"/>
  <c r="Q344" i="8"/>
  <c r="P344" i="8"/>
  <c r="O344" i="8"/>
  <c r="N344" i="8"/>
  <c r="M344" i="8"/>
  <c r="L344" i="8"/>
  <c r="K344" i="8"/>
  <c r="J344" i="8"/>
  <c r="I344" i="8"/>
  <c r="H344" i="8"/>
  <c r="G344" i="8"/>
  <c r="F344" i="8"/>
  <c r="B344" i="8"/>
  <c r="A344" i="8"/>
  <c r="Q343" i="8"/>
  <c r="P343" i="8"/>
  <c r="O343" i="8"/>
  <c r="N343" i="8"/>
  <c r="M343" i="8"/>
  <c r="L343" i="8"/>
  <c r="K343" i="8"/>
  <c r="J343" i="8"/>
  <c r="I343" i="8"/>
  <c r="H343" i="8"/>
  <c r="G343" i="8"/>
  <c r="F343" i="8"/>
  <c r="B343" i="8"/>
  <c r="A343" i="8"/>
  <c r="Q342" i="8"/>
  <c r="P342" i="8"/>
  <c r="O342" i="8"/>
  <c r="N342" i="8"/>
  <c r="M342" i="8"/>
  <c r="L342" i="8"/>
  <c r="K342" i="8"/>
  <c r="J342" i="8"/>
  <c r="I342" i="8"/>
  <c r="H342" i="8"/>
  <c r="G342" i="8"/>
  <c r="F342" i="8"/>
  <c r="B342" i="8"/>
  <c r="A342" i="8"/>
  <c r="Q341" i="8"/>
  <c r="P341" i="8"/>
  <c r="O341" i="8"/>
  <c r="N341" i="8"/>
  <c r="M341" i="8"/>
  <c r="L341" i="8"/>
  <c r="K341" i="8"/>
  <c r="J341" i="8"/>
  <c r="I341" i="8"/>
  <c r="H341" i="8"/>
  <c r="G341" i="8"/>
  <c r="F341" i="8"/>
  <c r="B341" i="8"/>
  <c r="A341" i="8"/>
  <c r="Q340" i="8"/>
  <c r="P340" i="8"/>
  <c r="O340" i="8"/>
  <c r="N340" i="8"/>
  <c r="M340" i="8"/>
  <c r="L340" i="8"/>
  <c r="K340" i="8"/>
  <c r="J340" i="8"/>
  <c r="I340" i="8"/>
  <c r="H340" i="8"/>
  <c r="G340" i="8"/>
  <c r="F340" i="8"/>
  <c r="B340" i="8"/>
  <c r="A340" i="8"/>
  <c r="Q339" i="8"/>
  <c r="P339" i="8"/>
  <c r="O339" i="8"/>
  <c r="N339" i="8"/>
  <c r="M339" i="8"/>
  <c r="L339" i="8"/>
  <c r="K339" i="8"/>
  <c r="J339" i="8"/>
  <c r="I339" i="8"/>
  <c r="H339" i="8"/>
  <c r="G339" i="8"/>
  <c r="F339" i="8"/>
  <c r="B339" i="8"/>
  <c r="A339" i="8"/>
  <c r="Q338" i="8"/>
  <c r="P338" i="8"/>
  <c r="O338" i="8"/>
  <c r="N338" i="8"/>
  <c r="M338" i="8"/>
  <c r="L338" i="8"/>
  <c r="K338" i="8"/>
  <c r="J338" i="8"/>
  <c r="I338" i="8"/>
  <c r="H338" i="8"/>
  <c r="G338" i="8"/>
  <c r="F338" i="8"/>
  <c r="A338" i="8"/>
  <c r="Q337" i="8"/>
  <c r="P337" i="8"/>
  <c r="O337" i="8"/>
  <c r="N337" i="8"/>
  <c r="M337" i="8"/>
  <c r="L337" i="8"/>
  <c r="K337" i="8"/>
  <c r="J337" i="8"/>
  <c r="I337" i="8"/>
  <c r="H337" i="8"/>
  <c r="G337" i="8"/>
  <c r="F337" i="8"/>
  <c r="A337" i="8"/>
  <c r="Q336" i="8"/>
  <c r="P336" i="8"/>
  <c r="O336" i="8"/>
  <c r="N336" i="8"/>
  <c r="M336" i="8"/>
  <c r="L336" i="8"/>
  <c r="K336" i="8"/>
  <c r="J336" i="8"/>
  <c r="I336" i="8"/>
  <c r="H336" i="8"/>
  <c r="G336" i="8"/>
  <c r="F336" i="8"/>
  <c r="A336" i="8"/>
  <c r="Q335" i="8"/>
  <c r="P335" i="8"/>
  <c r="O335" i="8"/>
  <c r="N335" i="8"/>
  <c r="M335" i="8"/>
  <c r="L335" i="8"/>
  <c r="K335" i="8"/>
  <c r="J335" i="8"/>
  <c r="I335" i="8"/>
  <c r="H335" i="8"/>
  <c r="G335" i="8"/>
  <c r="F335" i="8"/>
  <c r="A335" i="8"/>
  <c r="Q334" i="8"/>
  <c r="P334" i="8"/>
  <c r="O334" i="8"/>
  <c r="N334" i="8"/>
  <c r="M334" i="8"/>
  <c r="L334" i="8"/>
  <c r="K334" i="8"/>
  <c r="J334" i="8"/>
  <c r="I334" i="8"/>
  <c r="H334" i="8"/>
  <c r="G334" i="8"/>
  <c r="F334" i="8"/>
  <c r="B334" i="8"/>
  <c r="A334" i="8"/>
  <c r="Q333" i="8"/>
  <c r="P333" i="8"/>
  <c r="O333" i="8"/>
  <c r="N333" i="8"/>
  <c r="M333" i="8"/>
  <c r="L333" i="8"/>
  <c r="K333" i="8"/>
  <c r="J333" i="8"/>
  <c r="I333" i="8"/>
  <c r="H333" i="8"/>
  <c r="G333" i="8"/>
  <c r="F333" i="8"/>
  <c r="B333" i="8"/>
  <c r="A333" i="8"/>
  <c r="Q332" i="8"/>
  <c r="P332" i="8"/>
  <c r="O332" i="8"/>
  <c r="N332" i="8"/>
  <c r="M332" i="8"/>
  <c r="L332" i="8"/>
  <c r="K332" i="8"/>
  <c r="J332" i="8"/>
  <c r="I332" i="8"/>
  <c r="H332" i="8"/>
  <c r="G332" i="8"/>
  <c r="F332" i="8"/>
  <c r="B332" i="8"/>
  <c r="A332" i="8"/>
  <c r="Q331" i="8"/>
  <c r="P331" i="8"/>
  <c r="O331" i="8"/>
  <c r="N331" i="8"/>
  <c r="M331" i="8"/>
  <c r="L331" i="8"/>
  <c r="K331" i="8"/>
  <c r="J331" i="8"/>
  <c r="I331" i="8"/>
  <c r="H331" i="8"/>
  <c r="G331" i="8"/>
  <c r="F331" i="8"/>
  <c r="B331" i="8"/>
  <c r="A331" i="8"/>
  <c r="Q330" i="8"/>
  <c r="P330" i="8"/>
  <c r="O330" i="8"/>
  <c r="N330" i="8"/>
  <c r="M330" i="8"/>
  <c r="L330" i="8"/>
  <c r="K330" i="8"/>
  <c r="J330" i="8"/>
  <c r="I330" i="8"/>
  <c r="H330" i="8"/>
  <c r="G330" i="8"/>
  <c r="F330" i="8"/>
  <c r="B330" i="8"/>
  <c r="A330" i="8"/>
  <c r="Q329" i="8"/>
  <c r="P329" i="8"/>
  <c r="O329" i="8"/>
  <c r="N329" i="8"/>
  <c r="M329" i="8"/>
  <c r="L329" i="8"/>
  <c r="K329" i="8"/>
  <c r="J329" i="8"/>
  <c r="I329" i="8"/>
  <c r="H329" i="8"/>
  <c r="G329" i="8"/>
  <c r="F329" i="8"/>
  <c r="B329" i="8"/>
  <c r="A329" i="8"/>
  <c r="Q328" i="8"/>
  <c r="P328" i="8"/>
  <c r="O328" i="8"/>
  <c r="N328" i="8"/>
  <c r="M328" i="8"/>
  <c r="L328" i="8"/>
  <c r="K328" i="8"/>
  <c r="J328" i="8"/>
  <c r="I328" i="8"/>
  <c r="H328" i="8"/>
  <c r="G328" i="8"/>
  <c r="F328" i="8"/>
  <c r="B328" i="8"/>
  <c r="A328" i="8"/>
  <c r="Q327" i="8"/>
  <c r="P327" i="8"/>
  <c r="O327" i="8"/>
  <c r="N327" i="8"/>
  <c r="M327" i="8"/>
  <c r="L327" i="8"/>
  <c r="K327" i="8"/>
  <c r="J327" i="8"/>
  <c r="I327" i="8"/>
  <c r="H327" i="8"/>
  <c r="G327" i="8"/>
  <c r="F327" i="8"/>
  <c r="B327" i="8"/>
  <c r="A327" i="8"/>
  <c r="Q326" i="8"/>
  <c r="P326" i="8"/>
  <c r="O326" i="8"/>
  <c r="N326" i="8"/>
  <c r="M326" i="8"/>
  <c r="L326" i="8"/>
  <c r="K326" i="8"/>
  <c r="J326" i="8"/>
  <c r="I326" i="8"/>
  <c r="H326" i="8"/>
  <c r="G326" i="8"/>
  <c r="F326" i="8"/>
  <c r="B326" i="8"/>
  <c r="A326" i="8"/>
  <c r="Q325" i="8"/>
  <c r="P325" i="8"/>
  <c r="O325" i="8"/>
  <c r="N325" i="8"/>
  <c r="M325" i="8"/>
  <c r="L325" i="8"/>
  <c r="K325" i="8"/>
  <c r="J325" i="8"/>
  <c r="I325" i="8"/>
  <c r="H325" i="8"/>
  <c r="G325" i="8"/>
  <c r="F325" i="8"/>
  <c r="B325" i="8"/>
  <c r="A325" i="8"/>
  <c r="Q324" i="8"/>
  <c r="P324" i="8"/>
  <c r="O324" i="8"/>
  <c r="N324" i="8"/>
  <c r="M324" i="8"/>
  <c r="L324" i="8"/>
  <c r="K324" i="8"/>
  <c r="J324" i="8"/>
  <c r="I324" i="8"/>
  <c r="H324" i="8"/>
  <c r="G324" i="8"/>
  <c r="F324" i="8"/>
  <c r="B324" i="8"/>
  <c r="A324" i="8"/>
  <c r="Q323" i="8"/>
  <c r="P323" i="8"/>
  <c r="O323" i="8"/>
  <c r="N323" i="8"/>
  <c r="M323" i="8"/>
  <c r="L323" i="8"/>
  <c r="K323" i="8"/>
  <c r="J323" i="8"/>
  <c r="I323" i="8"/>
  <c r="H323" i="8"/>
  <c r="G323" i="8"/>
  <c r="F323" i="8"/>
  <c r="B323" i="8"/>
  <c r="A323" i="8"/>
  <c r="Q322" i="8"/>
  <c r="P322" i="8"/>
  <c r="O322" i="8"/>
  <c r="N322" i="8"/>
  <c r="M322" i="8"/>
  <c r="L322" i="8"/>
  <c r="K322" i="8"/>
  <c r="J322" i="8"/>
  <c r="I322" i="8"/>
  <c r="H322" i="8"/>
  <c r="G322" i="8"/>
  <c r="F322" i="8"/>
  <c r="B322" i="8"/>
  <c r="A322" i="8"/>
  <c r="Q321" i="8"/>
  <c r="P321" i="8"/>
  <c r="O321" i="8"/>
  <c r="N321" i="8"/>
  <c r="M321" i="8"/>
  <c r="L321" i="8"/>
  <c r="K321" i="8"/>
  <c r="J321" i="8"/>
  <c r="I321" i="8"/>
  <c r="H321" i="8"/>
  <c r="G321" i="8"/>
  <c r="F321" i="8"/>
  <c r="B321" i="8"/>
  <c r="A321" i="8"/>
  <c r="Q320" i="8"/>
  <c r="P320" i="8"/>
  <c r="O320" i="8"/>
  <c r="N320" i="8"/>
  <c r="M320" i="8"/>
  <c r="L320" i="8"/>
  <c r="K320" i="8"/>
  <c r="J320" i="8"/>
  <c r="I320" i="8"/>
  <c r="H320" i="8"/>
  <c r="G320" i="8"/>
  <c r="F320" i="8"/>
  <c r="B320" i="8"/>
  <c r="A320" i="8"/>
  <c r="Q319" i="8"/>
  <c r="P319" i="8"/>
  <c r="O319" i="8"/>
  <c r="N319" i="8"/>
  <c r="M319" i="8"/>
  <c r="L319" i="8"/>
  <c r="K319" i="8"/>
  <c r="J319" i="8"/>
  <c r="I319" i="8"/>
  <c r="H319" i="8"/>
  <c r="G319" i="8"/>
  <c r="F319" i="8"/>
  <c r="B319" i="8"/>
  <c r="A319" i="8"/>
  <c r="Q318" i="8"/>
  <c r="P318" i="8"/>
  <c r="O318" i="8"/>
  <c r="N318" i="8"/>
  <c r="M318" i="8"/>
  <c r="L318" i="8"/>
  <c r="K318" i="8"/>
  <c r="J318" i="8"/>
  <c r="I318" i="8"/>
  <c r="H318" i="8"/>
  <c r="G318" i="8"/>
  <c r="F318" i="8"/>
  <c r="B318" i="8"/>
  <c r="A318" i="8"/>
  <c r="Q317" i="8"/>
  <c r="P317" i="8"/>
  <c r="O317" i="8"/>
  <c r="N317" i="8"/>
  <c r="M317" i="8"/>
  <c r="L317" i="8"/>
  <c r="K317" i="8"/>
  <c r="J317" i="8"/>
  <c r="I317" i="8"/>
  <c r="H317" i="8"/>
  <c r="G317" i="8"/>
  <c r="F317" i="8"/>
  <c r="B317" i="8"/>
  <c r="A317" i="8"/>
  <c r="Q316" i="8"/>
  <c r="P316" i="8"/>
  <c r="O316" i="8"/>
  <c r="N316" i="8"/>
  <c r="M316" i="8"/>
  <c r="L316" i="8"/>
  <c r="K316" i="8"/>
  <c r="J316" i="8"/>
  <c r="I316" i="8"/>
  <c r="H316" i="8"/>
  <c r="G316" i="8"/>
  <c r="F316" i="8"/>
  <c r="B316" i="8"/>
  <c r="A316" i="8"/>
  <c r="Q315" i="8"/>
  <c r="P315" i="8"/>
  <c r="O315" i="8"/>
  <c r="N315" i="8"/>
  <c r="M315" i="8"/>
  <c r="L315" i="8"/>
  <c r="K315" i="8"/>
  <c r="J315" i="8"/>
  <c r="I315" i="8"/>
  <c r="H315" i="8"/>
  <c r="G315" i="8"/>
  <c r="F315" i="8"/>
  <c r="B315" i="8"/>
  <c r="A315" i="8"/>
  <c r="Q314" i="8"/>
  <c r="P314" i="8"/>
  <c r="O314" i="8"/>
  <c r="N314" i="8"/>
  <c r="M314" i="8"/>
  <c r="L314" i="8"/>
  <c r="K314" i="8"/>
  <c r="J314" i="8"/>
  <c r="I314" i="8"/>
  <c r="H314" i="8"/>
  <c r="G314" i="8"/>
  <c r="F314" i="8"/>
  <c r="A314" i="8"/>
  <c r="Q313" i="8"/>
  <c r="P313" i="8"/>
  <c r="O313" i="8"/>
  <c r="N313" i="8"/>
  <c r="M313" i="8"/>
  <c r="L313" i="8"/>
  <c r="K313" i="8"/>
  <c r="J313" i="8"/>
  <c r="I313" i="8"/>
  <c r="H313" i="8"/>
  <c r="G313" i="8"/>
  <c r="F313" i="8"/>
  <c r="A313" i="8"/>
  <c r="Q312" i="8"/>
  <c r="P312" i="8"/>
  <c r="O312" i="8"/>
  <c r="N312" i="8"/>
  <c r="M312" i="8"/>
  <c r="L312" i="8"/>
  <c r="K312" i="8"/>
  <c r="J312" i="8"/>
  <c r="I312" i="8"/>
  <c r="H312" i="8"/>
  <c r="G312" i="8"/>
  <c r="F312" i="8"/>
  <c r="A312" i="8"/>
  <c r="Q311" i="8"/>
  <c r="P311" i="8"/>
  <c r="O311" i="8"/>
  <c r="N311" i="8"/>
  <c r="M311" i="8"/>
  <c r="L311" i="8"/>
  <c r="K311" i="8"/>
  <c r="J311" i="8"/>
  <c r="I311" i="8"/>
  <c r="H311" i="8"/>
  <c r="G311" i="8"/>
  <c r="F311" i="8"/>
  <c r="A311" i="8"/>
  <c r="Q310" i="8"/>
  <c r="P310" i="8"/>
  <c r="O310" i="8"/>
  <c r="N310" i="8"/>
  <c r="M310" i="8"/>
  <c r="L310" i="8"/>
  <c r="K310" i="8"/>
  <c r="J310" i="8"/>
  <c r="I310" i="8"/>
  <c r="H310" i="8"/>
  <c r="G310" i="8"/>
  <c r="F310" i="8"/>
  <c r="B310" i="8"/>
  <c r="A310" i="8"/>
  <c r="Q309" i="8"/>
  <c r="P309" i="8"/>
  <c r="O309" i="8"/>
  <c r="N309" i="8"/>
  <c r="M309" i="8"/>
  <c r="L309" i="8"/>
  <c r="K309" i="8"/>
  <c r="J309" i="8"/>
  <c r="I309" i="8"/>
  <c r="H309" i="8"/>
  <c r="G309" i="8"/>
  <c r="F309" i="8"/>
  <c r="B309" i="8"/>
  <c r="A309" i="8"/>
  <c r="Q308" i="8"/>
  <c r="P308" i="8"/>
  <c r="O308" i="8"/>
  <c r="N308" i="8"/>
  <c r="M308" i="8"/>
  <c r="L308" i="8"/>
  <c r="K308" i="8"/>
  <c r="J308" i="8"/>
  <c r="I308" i="8"/>
  <c r="H308" i="8"/>
  <c r="G308" i="8"/>
  <c r="F308" i="8"/>
  <c r="B308" i="8"/>
  <c r="A308" i="8"/>
  <c r="Q307" i="8"/>
  <c r="P307" i="8"/>
  <c r="O307" i="8"/>
  <c r="N307" i="8"/>
  <c r="M307" i="8"/>
  <c r="L307" i="8"/>
  <c r="K307" i="8"/>
  <c r="J307" i="8"/>
  <c r="I307" i="8"/>
  <c r="H307" i="8"/>
  <c r="G307" i="8"/>
  <c r="F307" i="8"/>
  <c r="B307" i="8"/>
  <c r="A307" i="8"/>
  <c r="Q306" i="8"/>
  <c r="P306" i="8"/>
  <c r="O306" i="8"/>
  <c r="N306" i="8"/>
  <c r="M306" i="8"/>
  <c r="L306" i="8"/>
  <c r="K306" i="8"/>
  <c r="J306" i="8"/>
  <c r="I306" i="8"/>
  <c r="H306" i="8"/>
  <c r="G306" i="8"/>
  <c r="F306" i="8"/>
  <c r="B306" i="8"/>
  <c r="A306" i="8"/>
  <c r="Q305" i="8"/>
  <c r="P305" i="8"/>
  <c r="O305" i="8"/>
  <c r="N305" i="8"/>
  <c r="M305" i="8"/>
  <c r="L305" i="8"/>
  <c r="K305" i="8"/>
  <c r="J305" i="8"/>
  <c r="I305" i="8"/>
  <c r="H305" i="8"/>
  <c r="G305" i="8"/>
  <c r="F305" i="8"/>
  <c r="B305" i="8"/>
  <c r="A305" i="8"/>
  <c r="Q304" i="8"/>
  <c r="P304" i="8"/>
  <c r="O304" i="8"/>
  <c r="N304" i="8"/>
  <c r="M304" i="8"/>
  <c r="L304" i="8"/>
  <c r="K304" i="8"/>
  <c r="J304" i="8"/>
  <c r="I304" i="8"/>
  <c r="H304" i="8"/>
  <c r="G304" i="8"/>
  <c r="F304" i="8"/>
  <c r="B304" i="8"/>
  <c r="A304" i="8"/>
  <c r="Q303" i="8"/>
  <c r="P303" i="8"/>
  <c r="O303" i="8"/>
  <c r="N303" i="8"/>
  <c r="M303" i="8"/>
  <c r="L303" i="8"/>
  <c r="K303" i="8"/>
  <c r="J303" i="8"/>
  <c r="I303" i="8"/>
  <c r="H303" i="8"/>
  <c r="G303" i="8"/>
  <c r="F303" i="8"/>
  <c r="B303" i="8"/>
  <c r="A303" i="8"/>
  <c r="Q302" i="8"/>
  <c r="P302" i="8"/>
  <c r="O302" i="8"/>
  <c r="N302" i="8"/>
  <c r="M302" i="8"/>
  <c r="L302" i="8"/>
  <c r="K302" i="8"/>
  <c r="J302" i="8"/>
  <c r="I302" i="8"/>
  <c r="H302" i="8"/>
  <c r="G302" i="8"/>
  <c r="F302" i="8"/>
  <c r="B302" i="8"/>
  <c r="A302" i="8"/>
  <c r="Q301" i="8"/>
  <c r="P301" i="8"/>
  <c r="O301" i="8"/>
  <c r="N301" i="8"/>
  <c r="M301" i="8"/>
  <c r="L301" i="8"/>
  <c r="K301" i="8"/>
  <c r="J301" i="8"/>
  <c r="I301" i="8"/>
  <c r="H301" i="8"/>
  <c r="G301" i="8"/>
  <c r="F301" i="8"/>
  <c r="B301" i="8"/>
  <c r="A301" i="8"/>
  <c r="Q300" i="8"/>
  <c r="P300" i="8"/>
  <c r="O300" i="8"/>
  <c r="N300" i="8"/>
  <c r="M300" i="8"/>
  <c r="L300" i="8"/>
  <c r="K300" i="8"/>
  <c r="J300" i="8"/>
  <c r="I300" i="8"/>
  <c r="H300" i="8"/>
  <c r="G300" i="8"/>
  <c r="F300" i="8"/>
  <c r="B300" i="8"/>
  <c r="A300" i="8"/>
  <c r="Q299" i="8"/>
  <c r="P299" i="8"/>
  <c r="O299" i="8"/>
  <c r="N299" i="8"/>
  <c r="M299" i="8"/>
  <c r="L299" i="8"/>
  <c r="K299" i="8"/>
  <c r="J299" i="8"/>
  <c r="I299" i="8"/>
  <c r="H299" i="8"/>
  <c r="G299" i="8"/>
  <c r="F299" i="8"/>
  <c r="B299" i="8"/>
  <c r="A299" i="8"/>
  <c r="Q298" i="8"/>
  <c r="P298" i="8"/>
  <c r="O298" i="8"/>
  <c r="N298" i="8"/>
  <c r="M298" i="8"/>
  <c r="L298" i="8"/>
  <c r="K298" i="8"/>
  <c r="J298" i="8"/>
  <c r="I298" i="8"/>
  <c r="H298" i="8"/>
  <c r="G298" i="8"/>
  <c r="F298" i="8"/>
  <c r="B298" i="8"/>
  <c r="A298" i="8"/>
  <c r="Q297" i="8"/>
  <c r="P297" i="8"/>
  <c r="O297" i="8"/>
  <c r="N297" i="8"/>
  <c r="M297" i="8"/>
  <c r="L297" i="8"/>
  <c r="K297" i="8"/>
  <c r="J297" i="8"/>
  <c r="I297" i="8"/>
  <c r="H297" i="8"/>
  <c r="G297" i="8"/>
  <c r="F297" i="8"/>
  <c r="B297" i="8"/>
  <c r="A297" i="8"/>
  <c r="Q296" i="8"/>
  <c r="P296" i="8"/>
  <c r="O296" i="8"/>
  <c r="N296" i="8"/>
  <c r="M296" i="8"/>
  <c r="L296" i="8"/>
  <c r="K296" i="8"/>
  <c r="J296" i="8"/>
  <c r="I296" i="8"/>
  <c r="H296" i="8"/>
  <c r="G296" i="8"/>
  <c r="F296" i="8"/>
  <c r="B296" i="8"/>
  <c r="A296" i="8"/>
  <c r="Q295" i="8"/>
  <c r="P295" i="8"/>
  <c r="O295" i="8"/>
  <c r="N295" i="8"/>
  <c r="M295" i="8"/>
  <c r="L295" i="8"/>
  <c r="K295" i="8"/>
  <c r="J295" i="8"/>
  <c r="I295" i="8"/>
  <c r="H295" i="8"/>
  <c r="G295" i="8"/>
  <c r="F295" i="8"/>
  <c r="B295" i="8"/>
  <c r="A295" i="8"/>
  <c r="Q294" i="8"/>
  <c r="P294" i="8"/>
  <c r="O294" i="8"/>
  <c r="N294" i="8"/>
  <c r="M294" i="8"/>
  <c r="L294" i="8"/>
  <c r="K294" i="8"/>
  <c r="J294" i="8"/>
  <c r="I294" i="8"/>
  <c r="H294" i="8"/>
  <c r="G294" i="8"/>
  <c r="F294" i="8"/>
  <c r="B294" i="8"/>
  <c r="A294" i="8"/>
  <c r="Q293" i="8"/>
  <c r="P293" i="8"/>
  <c r="O293" i="8"/>
  <c r="N293" i="8"/>
  <c r="M293" i="8"/>
  <c r="L293" i="8"/>
  <c r="K293" i="8"/>
  <c r="J293" i="8"/>
  <c r="I293" i="8"/>
  <c r="H293" i="8"/>
  <c r="G293" i="8"/>
  <c r="F293" i="8"/>
  <c r="B293" i="8"/>
  <c r="A293" i="8"/>
  <c r="Q292" i="8"/>
  <c r="P292" i="8"/>
  <c r="O292" i="8"/>
  <c r="N292" i="8"/>
  <c r="M292" i="8"/>
  <c r="L292" i="8"/>
  <c r="K292" i="8"/>
  <c r="J292" i="8"/>
  <c r="I292" i="8"/>
  <c r="H292" i="8"/>
  <c r="G292" i="8"/>
  <c r="F292" i="8"/>
  <c r="B292" i="8"/>
  <c r="A292" i="8"/>
  <c r="Q291" i="8"/>
  <c r="P291" i="8"/>
  <c r="O291" i="8"/>
  <c r="N291" i="8"/>
  <c r="M291" i="8"/>
  <c r="L291" i="8"/>
  <c r="K291" i="8"/>
  <c r="J291" i="8"/>
  <c r="I291" i="8"/>
  <c r="H291" i="8"/>
  <c r="G291" i="8"/>
  <c r="F291" i="8"/>
  <c r="B291" i="8"/>
  <c r="A291" i="8"/>
  <c r="Q290" i="8"/>
  <c r="P290" i="8"/>
  <c r="O290" i="8"/>
  <c r="N290" i="8"/>
  <c r="M290" i="8"/>
  <c r="L290" i="8"/>
  <c r="K290" i="8"/>
  <c r="J290" i="8"/>
  <c r="I290" i="8"/>
  <c r="H290" i="8"/>
  <c r="G290" i="8"/>
  <c r="F290" i="8"/>
  <c r="A290" i="8"/>
  <c r="Q289" i="8"/>
  <c r="P289" i="8"/>
  <c r="O289" i="8"/>
  <c r="N289" i="8"/>
  <c r="M289" i="8"/>
  <c r="L289" i="8"/>
  <c r="K289" i="8"/>
  <c r="J289" i="8"/>
  <c r="I289" i="8"/>
  <c r="H289" i="8"/>
  <c r="G289" i="8"/>
  <c r="F289" i="8"/>
  <c r="A289" i="8"/>
  <c r="Q288" i="8"/>
  <c r="P288" i="8"/>
  <c r="O288" i="8"/>
  <c r="N288" i="8"/>
  <c r="M288" i="8"/>
  <c r="L288" i="8"/>
  <c r="K288" i="8"/>
  <c r="J288" i="8"/>
  <c r="I288" i="8"/>
  <c r="H288" i="8"/>
  <c r="G288" i="8"/>
  <c r="F288" i="8"/>
  <c r="A288" i="8"/>
  <c r="Q287" i="8"/>
  <c r="P287" i="8"/>
  <c r="O287" i="8"/>
  <c r="N287" i="8"/>
  <c r="M287" i="8"/>
  <c r="L287" i="8"/>
  <c r="K287" i="8"/>
  <c r="J287" i="8"/>
  <c r="I287" i="8"/>
  <c r="H287" i="8"/>
  <c r="G287" i="8"/>
  <c r="F287" i="8"/>
  <c r="A287" i="8"/>
  <c r="Q286" i="8"/>
  <c r="P286" i="8"/>
  <c r="O286" i="8"/>
  <c r="N286" i="8"/>
  <c r="M286" i="8"/>
  <c r="L286" i="8"/>
  <c r="K286" i="8"/>
  <c r="J286" i="8"/>
  <c r="I286" i="8"/>
  <c r="H286" i="8"/>
  <c r="G286" i="8"/>
  <c r="F286" i="8"/>
  <c r="B286" i="8"/>
  <c r="A286" i="8"/>
  <c r="Q285" i="8"/>
  <c r="P285" i="8"/>
  <c r="O285" i="8"/>
  <c r="N285" i="8"/>
  <c r="M285" i="8"/>
  <c r="L285" i="8"/>
  <c r="K285" i="8"/>
  <c r="J285" i="8"/>
  <c r="I285" i="8"/>
  <c r="H285" i="8"/>
  <c r="G285" i="8"/>
  <c r="F285" i="8"/>
  <c r="B285" i="8"/>
  <c r="A285" i="8"/>
  <c r="Q284" i="8"/>
  <c r="P284" i="8"/>
  <c r="O284" i="8"/>
  <c r="N284" i="8"/>
  <c r="M284" i="8"/>
  <c r="L284" i="8"/>
  <c r="K284" i="8"/>
  <c r="J284" i="8"/>
  <c r="I284" i="8"/>
  <c r="H284" i="8"/>
  <c r="G284" i="8"/>
  <c r="F284" i="8"/>
  <c r="B284" i="8"/>
  <c r="A284" i="8"/>
  <c r="Q283" i="8"/>
  <c r="P283" i="8"/>
  <c r="O283" i="8"/>
  <c r="N283" i="8"/>
  <c r="M283" i="8"/>
  <c r="L283" i="8"/>
  <c r="K283" i="8"/>
  <c r="J283" i="8"/>
  <c r="I283" i="8"/>
  <c r="H283" i="8"/>
  <c r="G283" i="8"/>
  <c r="F283" i="8"/>
  <c r="B283" i="8"/>
  <c r="A283" i="8"/>
  <c r="Q282" i="8"/>
  <c r="P282" i="8"/>
  <c r="O282" i="8"/>
  <c r="N282" i="8"/>
  <c r="M282" i="8"/>
  <c r="L282" i="8"/>
  <c r="K282" i="8"/>
  <c r="J282" i="8"/>
  <c r="I282" i="8"/>
  <c r="H282" i="8"/>
  <c r="G282" i="8"/>
  <c r="F282" i="8"/>
  <c r="B282" i="8"/>
  <c r="A282" i="8"/>
  <c r="Q281" i="8"/>
  <c r="P281" i="8"/>
  <c r="O281" i="8"/>
  <c r="N281" i="8"/>
  <c r="M281" i="8"/>
  <c r="L281" i="8"/>
  <c r="K281" i="8"/>
  <c r="J281" i="8"/>
  <c r="I281" i="8"/>
  <c r="H281" i="8"/>
  <c r="G281" i="8"/>
  <c r="F281" i="8"/>
  <c r="B281" i="8"/>
  <c r="A281" i="8"/>
  <c r="Q280" i="8"/>
  <c r="P280" i="8"/>
  <c r="O280" i="8"/>
  <c r="N280" i="8"/>
  <c r="M280" i="8"/>
  <c r="L280" i="8"/>
  <c r="K280" i="8"/>
  <c r="J280" i="8"/>
  <c r="I280" i="8"/>
  <c r="H280" i="8"/>
  <c r="G280" i="8"/>
  <c r="F280" i="8"/>
  <c r="B280" i="8"/>
  <c r="A280" i="8"/>
  <c r="Q279" i="8"/>
  <c r="P279" i="8"/>
  <c r="O279" i="8"/>
  <c r="N279" i="8"/>
  <c r="M279" i="8"/>
  <c r="L279" i="8"/>
  <c r="K279" i="8"/>
  <c r="J279" i="8"/>
  <c r="I279" i="8"/>
  <c r="H279" i="8"/>
  <c r="G279" i="8"/>
  <c r="F279" i="8"/>
  <c r="B279" i="8"/>
  <c r="A279" i="8"/>
  <c r="Q278" i="8"/>
  <c r="P278" i="8"/>
  <c r="O278" i="8"/>
  <c r="N278" i="8"/>
  <c r="M278" i="8"/>
  <c r="L278" i="8"/>
  <c r="K278" i="8"/>
  <c r="J278" i="8"/>
  <c r="I278" i="8"/>
  <c r="H278" i="8"/>
  <c r="G278" i="8"/>
  <c r="F278" i="8"/>
  <c r="B278" i="8"/>
  <c r="A278" i="8"/>
  <c r="Q277" i="8"/>
  <c r="P277" i="8"/>
  <c r="O277" i="8"/>
  <c r="N277" i="8"/>
  <c r="M277" i="8"/>
  <c r="L277" i="8"/>
  <c r="K277" i="8"/>
  <c r="J277" i="8"/>
  <c r="I277" i="8"/>
  <c r="H277" i="8"/>
  <c r="G277" i="8"/>
  <c r="F277" i="8"/>
  <c r="B277" i="8"/>
  <c r="A277" i="8"/>
  <c r="Q276" i="8"/>
  <c r="P276" i="8"/>
  <c r="O276" i="8"/>
  <c r="N276" i="8"/>
  <c r="M276" i="8"/>
  <c r="L276" i="8"/>
  <c r="K276" i="8"/>
  <c r="J276" i="8"/>
  <c r="I276" i="8"/>
  <c r="H276" i="8"/>
  <c r="G276" i="8"/>
  <c r="F276" i="8"/>
  <c r="B276" i="8"/>
  <c r="A276" i="8"/>
  <c r="Q275" i="8"/>
  <c r="P275" i="8"/>
  <c r="O275" i="8"/>
  <c r="N275" i="8"/>
  <c r="M275" i="8"/>
  <c r="L275" i="8"/>
  <c r="K275" i="8"/>
  <c r="J275" i="8"/>
  <c r="I275" i="8"/>
  <c r="H275" i="8"/>
  <c r="G275" i="8"/>
  <c r="F275" i="8"/>
  <c r="B275" i="8"/>
  <c r="A275" i="8"/>
  <c r="Q274" i="8"/>
  <c r="P274" i="8"/>
  <c r="O274" i="8"/>
  <c r="N274" i="8"/>
  <c r="M274" i="8"/>
  <c r="L274" i="8"/>
  <c r="K274" i="8"/>
  <c r="J274" i="8"/>
  <c r="I274" i="8"/>
  <c r="H274" i="8"/>
  <c r="G274" i="8"/>
  <c r="F274" i="8"/>
  <c r="B274" i="8"/>
  <c r="A274" i="8"/>
  <c r="Q273" i="8"/>
  <c r="P273" i="8"/>
  <c r="O273" i="8"/>
  <c r="N273" i="8"/>
  <c r="M273" i="8"/>
  <c r="L273" i="8"/>
  <c r="K273" i="8"/>
  <c r="J273" i="8"/>
  <c r="I273" i="8"/>
  <c r="H273" i="8"/>
  <c r="G273" i="8"/>
  <c r="F273" i="8"/>
  <c r="B273" i="8"/>
  <c r="A273" i="8"/>
  <c r="Q272" i="8"/>
  <c r="P272" i="8"/>
  <c r="O272" i="8"/>
  <c r="N272" i="8"/>
  <c r="M272" i="8"/>
  <c r="L272" i="8"/>
  <c r="K272" i="8"/>
  <c r="J272" i="8"/>
  <c r="I272" i="8"/>
  <c r="H272" i="8"/>
  <c r="G272" i="8"/>
  <c r="F272" i="8"/>
  <c r="B272" i="8"/>
  <c r="A272" i="8"/>
  <c r="Q271" i="8"/>
  <c r="P271" i="8"/>
  <c r="O271" i="8"/>
  <c r="N271" i="8"/>
  <c r="M271" i="8"/>
  <c r="L271" i="8"/>
  <c r="K271" i="8"/>
  <c r="J271" i="8"/>
  <c r="I271" i="8"/>
  <c r="H271" i="8"/>
  <c r="G271" i="8"/>
  <c r="F271" i="8"/>
  <c r="B271" i="8"/>
  <c r="A271" i="8"/>
  <c r="Q270" i="8"/>
  <c r="P270" i="8"/>
  <c r="O270" i="8"/>
  <c r="N270" i="8"/>
  <c r="M270" i="8"/>
  <c r="L270" i="8"/>
  <c r="K270" i="8"/>
  <c r="J270" i="8"/>
  <c r="I270" i="8"/>
  <c r="H270" i="8"/>
  <c r="G270" i="8"/>
  <c r="F270" i="8"/>
  <c r="B270" i="8"/>
  <c r="A270" i="8"/>
  <c r="Q269" i="8"/>
  <c r="P269" i="8"/>
  <c r="O269" i="8"/>
  <c r="N269" i="8"/>
  <c r="M269" i="8"/>
  <c r="L269" i="8"/>
  <c r="K269" i="8"/>
  <c r="J269" i="8"/>
  <c r="I269" i="8"/>
  <c r="H269" i="8"/>
  <c r="G269" i="8"/>
  <c r="F269" i="8"/>
  <c r="B269" i="8"/>
  <c r="A269" i="8"/>
  <c r="Q268" i="8"/>
  <c r="P268" i="8"/>
  <c r="O268" i="8"/>
  <c r="N268" i="8"/>
  <c r="M268" i="8"/>
  <c r="L268" i="8"/>
  <c r="K268" i="8"/>
  <c r="J268" i="8"/>
  <c r="I268" i="8"/>
  <c r="H268" i="8"/>
  <c r="G268" i="8"/>
  <c r="F268" i="8"/>
  <c r="B268" i="8"/>
  <c r="A268" i="8"/>
  <c r="Q267" i="8"/>
  <c r="P267" i="8"/>
  <c r="O267" i="8"/>
  <c r="N267" i="8"/>
  <c r="M267" i="8"/>
  <c r="L267" i="8"/>
  <c r="K267" i="8"/>
  <c r="J267" i="8"/>
  <c r="I267" i="8"/>
  <c r="H267" i="8"/>
  <c r="G267" i="8"/>
  <c r="F267" i="8"/>
  <c r="B267" i="8"/>
  <c r="A267" i="8"/>
  <c r="Q266" i="8"/>
  <c r="P266" i="8"/>
  <c r="O266" i="8"/>
  <c r="N266" i="8"/>
  <c r="M266" i="8"/>
  <c r="L266" i="8"/>
  <c r="K266" i="8"/>
  <c r="J266" i="8"/>
  <c r="I266" i="8"/>
  <c r="H266" i="8"/>
  <c r="G266" i="8"/>
  <c r="F266" i="8"/>
  <c r="A266" i="8"/>
  <c r="Q265" i="8"/>
  <c r="P265" i="8"/>
  <c r="O265" i="8"/>
  <c r="N265" i="8"/>
  <c r="M265" i="8"/>
  <c r="L265" i="8"/>
  <c r="K265" i="8"/>
  <c r="J265" i="8"/>
  <c r="I265" i="8"/>
  <c r="H265" i="8"/>
  <c r="G265" i="8"/>
  <c r="F265" i="8"/>
  <c r="A265" i="8"/>
  <c r="Q264" i="8"/>
  <c r="P264" i="8"/>
  <c r="O264" i="8"/>
  <c r="N264" i="8"/>
  <c r="M264" i="8"/>
  <c r="L264" i="8"/>
  <c r="K264" i="8"/>
  <c r="J264" i="8"/>
  <c r="I264" i="8"/>
  <c r="H264" i="8"/>
  <c r="G264" i="8"/>
  <c r="F264" i="8"/>
  <c r="A264" i="8"/>
  <c r="Q263" i="8"/>
  <c r="P263" i="8"/>
  <c r="O263" i="8"/>
  <c r="N263" i="8"/>
  <c r="M263" i="8"/>
  <c r="L263" i="8"/>
  <c r="K263" i="8"/>
  <c r="J263" i="8"/>
  <c r="I263" i="8"/>
  <c r="H263" i="8"/>
  <c r="G263" i="8"/>
  <c r="F263" i="8"/>
  <c r="A263" i="8"/>
  <c r="Q262" i="8"/>
  <c r="P262" i="8"/>
  <c r="O262" i="8"/>
  <c r="N262" i="8"/>
  <c r="M262" i="8"/>
  <c r="L262" i="8"/>
  <c r="K262" i="8"/>
  <c r="J262" i="8"/>
  <c r="I262" i="8"/>
  <c r="H262" i="8"/>
  <c r="G262" i="8"/>
  <c r="F262" i="8"/>
  <c r="B262" i="8"/>
  <c r="A262" i="8"/>
  <c r="Q261" i="8"/>
  <c r="P261" i="8"/>
  <c r="O261" i="8"/>
  <c r="N261" i="8"/>
  <c r="M261" i="8"/>
  <c r="L261" i="8"/>
  <c r="K261" i="8"/>
  <c r="J261" i="8"/>
  <c r="I261" i="8"/>
  <c r="H261" i="8"/>
  <c r="G261" i="8"/>
  <c r="F261" i="8"/>
  <c r="B261" i="8"/>
  <c r="A261" i="8"/>
  <c r="Q260" i="8"/>
  <c r="P260" i="8"/>
  <c r="O260" i="8"/>
  <c r="N260" i="8"/>
  <c r="M260" i="8"/>
  <c r="L260" i="8"/>
  <c r="K260" i="8"/>
  <c r="J260" i="8"/>
  <c r="I260" i="8"/>
  <c r="H260" i="8"/>
  <c r="G260" i="8"/>
  <c r="F260" i="8"/>
  <c r="B260" i="8"/>
  <c r="A260" i="8"/>
  <c r="Q259" i="8"/>
  <c r="P259" i="8"/>
  <c r="O259" i="8"/>
  <c r="N259" i="8"/>
  <c r="M259" i="8"/>
  <c r="L259" i="8"/>
  <c r="K259" i="8"/>
  <c r="J259" i="8"/>
  <c r="I259" i="8"/>
  <c r="H259" i="8"/>
  <c r="G259" i="8"/>
  <c r="F259" i="8"/>
  <c r="B259" i="8"/>
  <c r="A259" i="8"/>
  <c r="Q258" i="8"/>
  <c r="P258" i="8"/>
  <c r="O258" i="8"/>
  <c r="N258" i="8"/>
  <c r="M258" i="8"/>
  <c r="L258" i="8"/>
  <c r="K258" i="8"/>
  <c r="J258" i="8"/>
  <c r="I258" i="8"/>
  <c r="H258" i="8"/>
  <c r="G258" i="8"/>
  <c r="F258" i="8"/>
  <c r="B258" i="8"/>
  <c r="A258" i="8"/>
  <c r="Q257" i="8"/>
  <c r="P257" i="8"/>
  <c r="O257" i="8"/>
  <c r="N257" i="8"/>
  <c r="M257" i="8"/>
  <c r="L257" i="8"/>
  <c r="K257" i="8"/>
  <c r="J257" i="8"/>
  <c r="I257" i="8"/>
  <c r="H257" i="8"/>
  <c r="G257" i="8"/>
  <c r="F257" i="8"/>
  <c r="B257" i="8"/>
  <c r="A257" i="8"/>
  <c r="Q256" i="8"/>
  <c r="P256" i="8"/>
  <c r="O256" i="8"/>
  <c r="N256" i="8"/>
  <c r="M256" i="8"/>
  <c r="L256" i="8"/>
  <c r="K256" i="8"/>
  <c r="J256" i="8"/>
  <c r="I256" i="8"/>
  <c r="H256" i="8"/>
  <c r="G256" i="8"/>
  <c r="F256" i="8"/>
  <c r="B256" i="8"/>
  <c r="A256" i="8"/>
  <c r="Q255" i="8"/>
  <c r="P255" i="8"/>
  <c r="O255" i="8"/>
  <c r="N255" i="8"/>
  <c r="M255" i="8"/>
  <c r="L255" i="8"/>
  <c r="K255" i="8"/>
  <c r="J255" i="8"/>
  <c r="I255" i="8"/>
  <c r="H255" i="8"/>
  <c r="G255" i="8"/>
  <c r="F255" i="8"/>
  <c r="B255" i="8"/>
  <c r="A255" i="8"/>
  <c r="Q254" i="8"/>
  <c r="P254" i="8"/>
  <c r="O254" i="8"/>
  <c r="N254" i="8"/>
  <c r="M254" i="8"/>
  <c r="L254" i="8"/>
  <c r="K254" i="8"/>
  <c r="J254" i="8"/>
  <c r="I254" i="8"/>
  <c r="H254" i="8"/>
  <c r="G254" i="8"/>
  <c r="F254" i="8"/>
  <c r="B254" i="8"/>
  <c r="A254" i="8"/>
  <c r="Q253" i="8"/>
  <c r="P253" i="8"/>
  <c r="O253" i="8"/>
  <c r="N253" i="8"/>
  <c r="M253" i="8"/>
  <c r="L253" i="8"/>
  <c r="K253" i="8"/>
  <c r="J253" i="8"/>
  <c r="I253" i="8"/>
  <c r="H253" i="8"/>
  <c r="G253" i="8"/>
  <c r="F253" i="8"/>
  <c r="B253" i="8"/>
  <c r="A253" i="8"/>
  <c r="Q252" i="8"/>
  <c r="P252" i="8"/>
  <c r="O252" i="8"/>
  <c r="N252" i="8"/>
  <c r="M252" i="8"/>
  <c r="L252" i="8"/>
  <c r="K252" i="8"/>
  <c r="J252" i="8"/>
  <c r="I252" i="8"/>
  <c r="H252" i="8"/>
  <c r="G252" i="8"/>
  <c r="F252" i="8"/>
  <c r="B252" i="8"/>
  <c r="A252" i="8"/>
  <c r="Q251" i="8"/>
  <c r="P251" i="8"/>
  <c r="O251" i="8"/>
  <c r="N251" i="8"/>
  <c r="M251" i="8"/>
  <c r="L251" i="8"/>
  <c r="K251" i="8"/>
  <c r="J251" i="8"/>
  <c r="I251" i="8"/>
  <c r="H251" i="8"/>
  <c r="G251" i="8"/>
  <c r="F251" i="8"/>
  <c r="B251" i="8"/>
  <c r="A251" i="8"/>
  <c r="Q250" i="8"/>
  <c r="P250" i="8"/>
  <c r="O250" i="8"/>
  <c r="N250" i="8"/>
  <c r="M250" i="8"/>
  <c r="L250" i="8"/>
  <c r="K250" i="8"/>
  <c r="J250" i="8"/>
  <c r="I250" i="8"/>
  <c r="H250" i="8"/>
  <c r="G250" i="8"/>
  <c r="F250" i="8"/>
  <c r="B250" i="8"/>
  <c r="A250" i="8"/>
  <c r="Q249" i="8"/>
  <c r="P249" i="8"/>
  <c r="O249" i="8"/>
  <c r="N249" i="8"/>
  <c r="M249" i="8"/>
  <c r="L249" i="8"/>
  <c r="K249" i="8"/>
  <c r="J249" i="8"/>
  <c r="I249" i="8"/>
  <c r="H249" i="8"/>
  <c r="G249" i="8"/>
  <c r="F249" i="8"/>
  <c r="B249" i="8"/>
  <c r="A249" i="8"/>
  <c r="Q248" i="8"/>
  <c r="P248" i="8"/>
  <c r="O248" i="8"/>
  <c r="N248" i="8"/>
  <c r="M248" i="8"/>
  <c r="L248" i="8"/>
  <c r="K248" i="8"/>
  <c r="J248" i="8"/>
  <c r="I248" i="8"/>
  <c r="H248" i="8"/>
  <c r="G248" i="8"/>
  <c r="F248" i="8"/>
  <c r="B248" i="8"/>
  <c r="A248" i="8"/>
  <c r="Q247" i="8"/>
  <c r="P247" i="8"/>
  <c r="O247" i="8"/>
  <c r="N247" i="8"/>
  <c r="M247" i="8"/>
  <c r="L247" i="8"/>
  <c r="K247" i="8"/>
  <c r="J247" i="8"/>
  <c r="I247" i="8"/>
  <c r="H247" i="8"/>
  <c r="G247" i="8"/>
  <c r="F247" i="8"/>
  <c r="B247" i="8"/>
  <c r="A247" i="8"/>
  <c r="Q246" i="8"/>
  <c r="P246" i="8"/>
  <c r="O246" i="8"/>
  <c r="N246" i="8"/>
  <c r="M246" i="8"/>
  <c r="L246" i="8"/>
  <c r="K246" i="8"/>
  <c r="J246" i="8"/>
  <c r="I246" i="8"/>
  <c r="H246" i="8"/>
  <c r="G246" i="8"/>
  <c r="F246" i="8"/>
  <c r="B246" i="8"/>
  <c r="A246" i="8"/>
  <c r="Q245" i="8"/>
  <c r="P245" i="8"/>
  <c r="O245" i="8"/>
  <c r="N245" i="8"/>
  <c r="M245" i="8"/>
  <c r="L245" i="8"/>
  <c r="K245" i="8"/>
  <c r="J245" i="8"/>
  <c r="I245" i="8"/>
  <c r="H245" i="8"/>
  <c r="G245" i="8"/>
  <c r="F245" i="8"/>
  <c r="B245" i="8"/>
  <c r="A245" i="8"/>
  <c r="Q244" i="8"/>
  <c r="P244" i="8"/>
  <c r="O244" i="8"/>
  <c r="N244" i="8"/>
  <c r="M244" i="8"/>
  <c r="L244" i="8"/>
  <c r="K244" i="8"/>
  <c r="J244" i="8"/>
  <c r="I244" i="8"/>
  <c r="H244" i="8"/>
  <c r="G244" i="8"/>
  <c r="F244" i="8"/>
  <c r="B244" i="8"/>
  <c r="A244" i="8"/>
  <c r="Q243" i="8"/>
  <c r="P243" i="8"/>
  <c r="O243" i="8"/>
  <c r="N243" i="8"/>
  <c r="M243" i="8"/>
  <c r="L243" i="8"/>
  <c r="K243" i="8"/>
  <c r="J243" i="8"/>
  <c r="I243" i="8"/>
  <c r="H243" i="8"/>
  <c r="G243" i="8"/>
  <c r="F243" i="8"/>
  <c r="B243" i="8"/>
  <c r="A243" i="8"/>
  <c r="Q242" i="8"/>
  <c r="P242" i="8"/>
  <c r="O242" i="8"/>
  <c r="N242" i="8"/>
  <c r="M242" i="8"/>
  <c r="L242" i="8"/>
  <c r="K242" i="8"/>
  <c r="J242" i="8"/>
  <c r="I242" i="8"/>
  <c r="H242" i="8"/>
  <c r="G242" i="8"/>
  <c r="F242" i="8"/>
  <c r="A242" i="8"/>
  <c r="Q241" i="8"/>
  <c r="P241" i="8"/>
  <c r="O241" i="8"/>
  <c r="N241" i="8"/>
  <c r="M241" i="8"/>
  <c r="L241" i="8"/>
  <c r="K241" i="8"/>
  <c r="J241" i="8"/>
  <c r="I241" i="8"/>
  <c r="H241" i="8"/>
  <c r="G241" i="8"/>
  <c r="F241" i="8"/>
  <c r="A241" i="8"/>
  <c r="Q240" i="8"/>
  <c r="P240" i="8"/>
  <c r="O240" i="8"/>
  <c r="N240" i="8"/>
  <c r="M240" i="8"/>
  <c r="L240" i="8"/>
  <c r="K240" i="8"/>
  <c r="J240" i="8"/>
  <c r="I240" i="8"/>
  <c r="H240" i="8"/>
  <c r="G240" i="8"/>
  <c r="F240" i="8"/>
  <c r="A240" i="8"/>
  <c r="Q239" i="8"/>
  <c r="P239" i="8"/>
  <c r="O239" i="8"/>
  <c r="N239" i="8"/>
  <c r="M239" i="8"/>
  <c r="L239" i="8"/>
  <c r="K239" i="8"/>
  <c r="J239" i="8"/>
  <c r="I239" i="8"/>
  <c r="H239" i="8"/>
  <c r="G239" i="8"/>
  <c r="F239" i="8"/>
  <c r="A239" i="8"/>
  <c r="Q238" i="8"/>
  <c r="P238" i="8"/>
  <c r="O238" i="8"/>
  <c r="N238" i="8"/>
  <c r="M238" i="8"/>
  <c r="L238" i="8"/>
  <c r="K238" i="8"/>
  <c r="J238" i="8"/>
  <c r="I238" i="8"/>
  <c r="H238" i="8"/>
  <c r="G238" i="8"/>
  <c r="F238" i="8"/>
  <c r="B238" i="8"/>
  <c r="A238" i="8"/>
  <c r="Q237" i="8"/>
  <c r="P237" i="8"/>
  <c r="O237" i="8"/>
  <c r="N237" i="8"/>
  <c r="M237" i="8"/>
  <c r="L237" i="8"/>
  <c r="K237" i="8"/>
  <c r="J237" i="8"/>
  <c r="I237" i="8"/>
  <c r="H237" i="8"/>
  <c r="G237" i="8"/>
  <c r="F237" i="8"/>
  <c r="B237" i="8"/>
  <c r="A237" i="8"/>
  <c r="Q236" i="8"/>
  <c r="P236" i="8"/>
  <c r="O236" i="8"/>
  <c r="N236" i="8"/>
  <c r="M236" i="8"/>
  <c r="L236" i="8"/>
  <c r="K236" i="8"/>
  <c r="J236" i="8"/>
  <c r="I236" i="8"/>
  <c r="H236" i="8"/>
  <c r="G236" i="8"/>
  <c r="F236" i="8"/>
  <c r="B236" i="8"/>
  <c r="A236" i="8"/>
  <c r="Q235" i="8"/>
  <c r="P235" i="8"/>
  <c r="O235" i="8"/>
  <c r="N235" i="8"/>
  <c r="M235" i="8"/>
  <c r="L235" i="8"/>
  <c r="K235" i="8"/>
  <c r="J235" i="8"/>
  <c r="I235" i="8"/>
  <c r="H235" i="8"/>
  <c r="G235" i="8"/>
  <c r="F235" i="8"/>
  <c r="B235" i="8"/>
  <c r="A235" i="8"/>
  <c r="Q234" i="8"/>
  <c r="P234" i="8"/>
  <c r="O234" i="8"/>
  <c r="N234" i="8"/>
  <c r="M234" i="8"/>
  <c r="L234" i="8"/>
  <c r="K234" i="8"/>
  <c r="J234" i="8"/>
  <c r="I234" i="8"/>
  <c r="H234" i="8"/>
  <c r="G234" i="8"/>
  <c r="F234" i="8"/>
  <c r="B234" i="8"/>
  <c r="A234" i="8"/>
  <c r="Q233" i="8"/>
  <c r="P233" i="8"/>
  <c r="O233" i="8"/>
  <c r="N233" i="8"/>
  <c r="M233" i="8"/>
  <c r="L233" i="8"/>
  <c r="K233" i="8"/>
  <c r="J233" i="8"/>
  <c r="I233" i="8"/>
  <c r="H233" i="8"/>
  <c r="G233" i="8"/>
  <c r="F233" i="8"/>
  <c r="B233" i="8"/>
  <c r="A233" i="8"/>
  <c r="Q232" i="8"/>
  <c r="P232" i="8"/>
  <c r="O232" i="8"/>
  <c r="N232" i="8"/>
  <c r="M232" i="8"/>
  <c r="L232" i="8"/>
  <c r="K232" i="8"/>
  <c r="J232" i="8"/>
  <c r="I232" i="8"/>
  <c r="H232" i="8"/>
  <c r="G232" i="8"/>
  <c r="F232" i="8"/>
  <c r="B232" i="8"/>
  <c r="A232" i="8"/>
  <c r="Q231" i="8"/>
  <c r="P231" i="8"/>
  <c r="O231" i="8"/>
  <c r="N231" i="8"/>
  <c r="M231" i="8"/>
  <c r="L231" i="8"/>
  <c r="K231" i="8"/>
  <c r="J231" i="8"/>
  <c r="I231" i="8"/>
  <c r="H231" i="8"/>
  <c r="G231" i="8"/>
  <c r="F231" i="8"/>
  <c r="B231" i="8"/>
  <c r="A231" i="8"/>
  <c r="Q230" i="8"/>
  <c r="P230" i="8"/>
  <c r="O230" i="8"/>
  <c r="N230" i="8"/>
  <c r="M230" i="8"/>
  <c r="L230" i="8"/>
  <c r="K230" i="8"/>
  <c r="J230" i="8"/>
  <c r="I230" i="8"/>
  <c r="H230" i="8"/>
  <c r="G230" i="8"/>
  <c r="F230" i="8"/>
  <c r="B230" i="8"/>
  <c r="A230" i="8"/>
  <c r="Q229" i="8"/>
  <c r="P229" i="8"/>
  <c r="O229" i="8"/>
  <c r="N229" i="8"/>
  <c r="M229" i="8"/>
  <c r="L229" i="8"/>
  <c r="K229" i="8"/>
  <c r="J229" i="8"/>
  <c r="I229" i="8"/>
  <c r="H229" i="8"/>
  <c r="G229" i="8"/>
  <c r="F229" i="8"/>
  <c r="B229" i="8"/>
  <c r="A229" i="8"/>
  <c r="Q228" i="8"/>
  <c r="P228" i="8"/>
  <c r="O228" i="8"/>
  <c r="N228" i="8"/>
  <c r="M228" i="8"/>
  <c r="L228" i="8"/>
  <c r="K228" i="8"/>
  <c r="J228" i="8"/>
  <c r="I228" i="8"/>
  <c r="H228" i="8"/>
  <c r="G228" i="8"/>
  <c r="F228" i="8"/>
  <c r="B228" i="8"/>
  <c r="A228" i="8"/>
  <c r="Q227" i="8"/>
  <c r="P227" i="8"/>
  <c r="O227" i="8"/>
  <c r="N227" i="8"/>
  <c r="M227" i="8"/>
  <c r="L227" i="8"/>
  <c r="K227" i="8"/>
  <c r="J227" i="8"/>
  <c r="I227" i="8"/>
  <c r="H227" i="8"/>
  <c r="G227" i="8"/>
  <c r="F227" i="8"/>
  <c r="B227" i="8"/>
  <c r="A227" i="8"/>
  <c r="Q226" i="8"/>
  <c r="P226" i="8"/>
  <c r="O226" i="8"/>
  <c r="N226" i="8"/>
  <c r="M226" i="8"/>
  <c r="L226" i="8"/>
  <c r="K226" i="8"/>
  <c r="J226" i="8"/>
  <c r="I226" i="8"/>
  <c r="H226" i="8"/>
  <c r="G226" i="8"/>
  <c r="F226" i="8"/>
  <c r="B226" i="8"/>
  <c r="A226" i="8"/>
  <c r="Q225" i="8"/>
  <c r="P225" i="8"/>
  <c r="O225" i="8"/>
  <c r="N225" i="8"/>
  <c r="M225" i="8"/>
  <c r="L225" i="8"/>
  <c r="K225" i="8"/>
  <c r="J225" i="8"/>
  <c r="I225" i="8"/>
  <c r="H225" i="8"/>
  <c r="G225" i="8"/>
  <c r="F225" i="8"/>
  <c r="B225" i="8"/>
  <c r="A225" i="8"/>
  <c r="Q224" i="8"/>
  <c r="P224" i="8"/>
  <c r="O224" i="8"/>
  <c r="N224" i="8"/>
  <c r="M224" i="8"/>
  <c r="L224" i="8"/>
  <c r="K224" i="8"/>
  <c r="J224" i="8"/>
  <c r="I224" i="8"/>
  <c r="H224" i="8"/>
  <c r="G224" i="8"/>
  <c r="F224" i="8"/>
  <c r="B224" i="8"/>
  <c r="A224" i="8"/>
  <c r="Q223" i="8"/>
  <c r="P223" i="8"/>
  <c r="O223" i="8"/>
  <c r="N223" i="8"/>
  <c r="M223" i="8"/>
  <c r="L223" i="8"/>
  <c r="K223" i="8"/>
  <c r="J223" i="8"/>
  <c r="I223" i="8"/>
  <c r="H223" i="8"/>
  <c r="G223" i="8"/>
  <c r="F223" i="8"/>
  <c r="B223" i="8"/>
  <c r="A223" i="8"/>
  <c r="Q222" i="8"/>
  <c r="P222" i="8"/>
  <c r="O222" i="8"/>
  <c r="N222" i="8"/>
  <c r="M222" i="8"/>
  <c r="L222" i="8"/>
  <c r="K222" i="8"/>
  <c r="J222" i="8"/>
  <c r="I222" i="8"/>
  <c r="H222" i="8"/>
  <c r="G222" i="8"/>
  <c r="F222" i="8"/>
  <c r="B222" i="8"/>
  <c r="A222" i="8"/>
  <c r="Q221" i="8"/>
  <c r="P221" i="8"/>
  <c r="O221" i="8"/>
  <c r="N221" i="8"/>
  <c r="M221" i="8"/>
  <c r="L221" i="8"/>
  <c r="K221" i="8"/>
  <c r="J221" i="8"/>
  <c r="I221" i="8"/>
  <c r="H221" i="8"/>
  <c r="G221" i="8"/>
  <c r="F221" i="8"/>
  <c r="B221" i="8"/>
  <c r="A221" i="8"/>
  <c r="Q220" i="8"/>
  <c r="P220" i="8"/>
  <c r="O220" i="8"/>
  <c r="N220" i="8"/>
  <c r="M220" i="8"/>
  <c r="L220" i="8"/>
  <c r="K220" i="8"/>
  <c r="J220" i="8"/>
  <c r="I220" i="8"/>
  <c r="H220" i="8"/>
  <c r="G220" i="8"/>
  <c r="F220" i="8"/>
  <c r="B220" i="8"/>
  <c r="A220" i="8"/>
  <c r="Q219" i="8"/>
  <c r="P219" i="8"/>
  <c r="O219" i="8"/>
  <c r="N219" i="8"/>
  <c r="M219" i="8"/>
  <c r="L219" i="8"/>
  <c r="K219" i="8"/>
  <c r="J219" i="8"/>
  <c r="I219" i="8"/>
  <c r="H219" i="8"/>
  <c r="G219" i="8"/>
  <c r="F219" i="8"/>
  <c r="B219" i="8"/>
  <c r="A219" i="8"/>
  <c r="Q218" i="8"/>
  <c r="P218" i="8"/>
  <c r="O218" i="8"/>
  <c r="N218" i="8"/>
  <c r="M218" i="8"/>
  <c r="L218" i="8"/>
  <c r="K218" i="8"/>
  <c r="J218" i="8"/>
  <c r="I218" i="8"/>
  <c r="H218" i="8"/>
  <c r="G218" i="8"/>
  <c r="F218" i="8"/>
  <c r="A218" i="8"/>
  <c r="Q217" i="8"/>
  <c r="P217" i="8"/>
  <c r="O217" i="8"/>
  <c r="N217" i="8"/>
  <c r="M217" i="8"/>
  <c r="L217" i="8"/>
  <c r="K217" i="8"/>
  <c r="J217" i="8"/>
  <c r="I217" i="8"/>
  <c r="H217" i="8"/>
  <c r="G217" i="8"/>
  <c r="F217" i="8"/>
  <c r="A217" i="8"/>
  <c r="Q216" i="8"/>
  <c r="P216" i="8"/>
  <c r="O216" i="8"/>
  <c r="N216" i="8"/>
  <c r="M216" i="8"/>
  <c r="L216" i="8"/>
  <c r="K216" i="8"/>
  <c r="J216" i="8"/>
  <c r="I216" i="8"/>
  <c r="H216" i="8"/>
  <c r="G216" i="8"/>
  <c r="F216" i="8"/>
  <c r="A216" i="8"/>
  <c r="Q215" i="8"/>
  <c r="P215" i="8"/>
  <c r="O215" i="8"/>
  <c r="N215" i="8"/>
  <c r="M215" i="8"/>
  <c r="L215" i="8"/>
  <c r="K215" i="8"/>
  <c r="J215" i="8"/>
  <c r="I215" i="8"/>
  <c r="H215" i="8"/>
  <c r="G215" i="8"/>
  <c r="F215" i="8"/>
  <c r="A215" i="8"/>
  <c r="Q214" i="8"/>
  <c r="P214" i="8"/>
  <c r="O214" i="8"/>
  <c r="N214" i="8"/>
  <c r="M214" i="8"/>
  <c r="L214" i="8"/>
  <c r="K214" i="8"/>
  <c r="J214" i="8"/>
  <c r="I214" i="8"/>
  <c r="H214" i="8"/>
  <c r="G214" i="8"/>
  <c r="F214" i="8"/>
  <c r="B214" i="8"/>
  <c r="A214" i="8"/>
  <c r="Q213" i="8"/>
  <c r="P213" i="8"/>
  <c r="O213" i="8"/>
  <c r="N213" i="8"/>
  <c r="M213" i="8"/>
  <c r="L213" i="8"/>
  <c r="K213" i="8"/>
  <c r="J213" i="8"/>
  <c r="I213" i="8"/>
  <c r="H213" i="8"/>
  <c r="G213" i="8"/>
  <c r="F213" i="8"/>
  <c r="B213" i="8"/>
  <c r="A213" i="8"/>
  <c r="Q212" i="8"/>
  <c r="P212" i="8"/>
  <c r="O212" i="8"/>
  <c r="N212" i="8"/>
  <c r="M212" i="8"/>
  <c r="L212" i="8"/>
  <c r="K212" i="8"/>
  <c r="J212" i="8"/>
  <c r="I212" i="8"/>
  <c r="H212" i="8"/>
  <c r="G212" i="8"/>
  <c r="F212" i="8"/>
  <c r="B212" i="8"/>
  <c r="A212" i="8"/>
  <c r="Q211" i="8"/>
  <c r="P211" i="8"/>
  <c r="O211" i="8"/>
  <c r="N211" i="8"/>
  <c r="M211" i="8"/>
  <c r="L211" i="8"/>
  <c r="K211" i="8"/>
  <c r="J211" i="8"/>
  <c r="I211" i="8"/>
  <c r="H211" i="8"/>
  <c r="G211" i="8"/>
  <c r="F211" i="8"/>
  <c r="B211" i="8"/>
  <c r="A211" i="8"/>
  <c r="Q210" i="8"/>
  <c r="P210" i="8"/>
  <c r="O210" i="8"/>
  <c r="N210" i="8"/>
  <c r="M210" i="8"/>
  <c r="L210" i="8"/>
  <c r="K210" i="8"/>
  <c r="J210" i="8"/>
  <c r="I210" i="8"/>
  <c r="H210" i="8"/>
  <c r="G210" i="8"/>
  <c r="F210" i="8"/>
  <c r="B210" i="8"/>
  <c r="A210" i="8"/>
  <c r="Q209" i="8"/>
  <c r="P209" i="8"/>
  <c r="O209" i="8"/>
  <c r="N209" i="8"/>
  <c r="M209" i="8"/>
  <c r="L209" i="8"/>
  <c r="K209" i="8"/>
  <c r="J209" i="8"/>
  <c r="I209" i="8"/>
  <c r="H209" i="8"/>
  <c r="G209" i="8"/>
  <c r="F209" i="8"/>
  <c r="B209" i="8"/>
  <c r="A209" i="8"/>
  <c r="Q208" i="8"/>
  <c r="P208" i="8"/>
  <c r="O208" i="8"/>
  <c r="N208" i="8"/>
  <c r="M208" i="8"/>
  <c r="L208" i="8"/>
  <c r="K208" i="8"/>
  <c r="J208" i="8"/>
  <c r="I208" i="8"/>
  <c r="H208" i="8"/>
  <c r="G208" i="8"/>
  <c r="F208" i="8"/>
  <c r="B208" i="8"/>
  <c r="A208" i="8"/>
  <c r="Q207" i="8"/>
  <c r="P207" i="8"/>
  <c r="O207" i="8"/>
  <c r="N207" i="8"/>
  <c r="M207" i="8"/>
  <c r="L207" i="8"/>
  <c r="K207" i="8"/>
  <c r="J207" i="8"/>
  <c r="I207" i="8"/>
  <c r="H207" i="8"/>
  <c r="G207" i="8"/>
  <c r="F207" i="8"/>
  <c r="B207" i="8"/>
  <c r="A207" i="8"/>
  <c r="Q206" i="8"/>
  <c r="P206" i="8"/>
  <c r="O206" i="8"/>
  <c r="N206" i="8"/>
  <c r="M206" i="8"/>
  <c r="L206" i="8"/>
  <c r="K206" i="8"/>
  <c r="J206" i="8"/>
  <c r="I206" i="8"/>
  <c r="H206" i="8"/>
  <c r="G206" i="8"/>
  <c r="F206" i="8"/>
  <c r="B206" i="8"/>
  <c r="A206" i="8"/>
  <c r="Q205" i="8"/>
  <c r="P205" i="8"/>
  <c r="O205" i="8"/>
  <c r="N205" i="8"/>
  <c r="M205" i="8"/>
  <c r="L205" i="8"/>
  <c r="K205" i="8"/>
  <c r="J205" i="8"/>
  <c r="I205" i="8"/>
  <c r="H205" i="8"/>
  <c r="G205" i="8"/>
  <c r="F205" i="8"/>
  <c r="B205" i="8"/>
  <c r="A205" i="8"/>
  <c r="Q204" i="8"/>
  <c r="P204" i="8"/>
  <c r="O204" i="8"/>
  <c r="N204" i="8"/>
  <c r="M204" i="8"/>
  <c r="L204" i="8"/>
  <c r="K204" i="8"/>
  <c r="J204" i="8"/>
  <c r="I204" i="8"/>
  <c r="H204" i="8"/>
  <c r="G204" i="8"/>
  <c r="F204" i="8"/>
  <c r="B204" i="8"/>
  <c r="A204" i="8"/>
  <c r="Q203" i="8"/>
  <c r="P203" i="8"/>
  <c r="O203" i="8"/>
  <c r="N203" i="8"/>
  <c r="M203" i="8"/>
  <c r="L203" i="8"/>
  <c r="K203" i="8"/>
  <c r="J203" i="8"/>
  <c r="I203" i="8"/>
  <c r="H203" i="8"/>
  <c r="G203" i="8"/>
  <c r="F203" i="8"/>
  <c r="B203" i="8"/>
  <c r="A203" i="8"/>
  <c r="Q202" i="8"/>
  <c r="P202" i="8"/>
  <c r="O202" i="8"/>
  <c r="N202" i="8"/>
  <c r="M202" i="8"/>
  <c r="L202" i="8"/>
  <c r="K202" i="8"/>
  <c r="J202" i="8"/>
  <c r="I202" i="8"/>
  <c r="H202" i="8"/>
  <c r="G202" i="8"/>
  <c r="F202" i="8"/>
  <c r="B202" i="8"/>
  <c r="A202" i="8"/>
  <c r="Q201" i="8"/>
  <c r="P201" i="8"/>
  <c r="O201" i="8"/>
  <c r="N201" i="8"/>
  <c r="M201" i="8"/>
  <c r="L201" i="8"/>
  <c r="K201" i="8"/>
  <c r="J201" i="8"/>
  <c r="I201" i="8"/>
  <c r="H201" i="8"/>
  <c r="G201" i="8"/>
  <c r="F201" i="8"/>
  <c r="B201" i="8"/>
  <c r="A201" i="8"/>
  <c r="Q200" i="8"/>
  <c r="P200" i="8"/>
  <c r="O200" i="8"/>
  <c r="N200" i="8"/>
  <c r="M200" i="8"/>
  <c r="L200" i="8"/>
  <c r="K200" i="8"/>
  <c r="J200" i="8"/>
  <c r="I200" i="8"/>
  <c r="H200" i="8"/>
  <c r="G200" i="8"/>
  <c r="F200" i="8"/>
  <c r="B200" i="8"/>
  <c r="A200" i="8"/>
  <c r="Q199" i="8"/>
  <c r="P199" i="8"/>
  <c r="O199" i="8"/>
  <c r="N199" i="8"/>
  <c r="M199" i="8"/>
  <c r="L199" i="8"/>
  <c r="K199" i="8"/>
  <c r="J199" i="8"/>
  <c r="I199" i="8"/>
  <c r="H199" i="8"/>
  <c r="G199" i="8"/>
  <c r="F199" i="8"/>
  <c r="B199" i="8"/>
  <c r="A199" i="8"/>
  <c r="Q198" i="8"/>
  <c r="P198" i="8"/>
  <c r="O198" i="8"/>
  <c r="N198" i="8"/>
  <c r="M198" i="8"/>
  <c r="L198" i="8"/>
  <c r="K198" i="8"/>
  <c r="J198" i="8"/>
  <c r="I198" i="8"/>
  <c r="H198" i="8"/>
  <c r="G198" i="8"/>
  <c r="F198" i="8"/>
  <c r="B198" i="8"/>
  <c r="A198" i="8"/>
  <c r="Q197" i="8"/>
  <c r="P197" i="8"/>
  <c r="O197" i="8"/>
  <c r="N197" i="8"/>
  <c r="M197" i="8"/>
  <c r="L197" i="8"/>
  <c r="K197" i="8"/>
  <c r="J197" i="8"/>
  <c r="I197" i="8"/>
  <c r="H197" i="8"/>
  <c r="G197" i="8"/>
  <c r="F197" i="8"/>
  <c r="B197" i="8"/>
  <c r="A197" i="8"/>
  <c r="Q196" i="8"/>
  <c r="P196" i="8"/>
  <c r="O196" i="8"/>
  <c r="N196" i="8"/>
  <c r="M196" i="8"/>
  <c r="L196" i="8"/>
  <c r="K196" i="8"/>
  <c r="J196" i="8"/>
  <c r="I196" i="8"/>
  <c r="H196" i="8"/>
  <c r="G196" i="8"/>
  <c r="F196" i="8"/>
  <c r="B196" i="8"/>
  <c r="A196" i="8"/>
  <c r="Q195" i="8"/>
  <c r="P195" i="8"/>
  <c r="O195" i="8"/>
  <c r="N195" i="8"/>
  <c r="M195" i="8"/>
  <c r="L195" i="8"/>
  <c r="K195" i="8"/>
  <c r="J195" i="8"/>
  <c r="I195" i="8"/>
  <c r="H195" i="8"/>
  <c r="G195" i="8"/>
  <c r="F195" i="8"/>
  <c r="B195" i="8"/>
  <c r="A195" i="8"/>
  <c r="Q194" i="8"/>
  <c r="P194" i="8"/>
  <c r="O194" i="8"/>
  <c r="N194" i="8"/>
  <c r="M194" i="8"/>
  <c r="L194" i="8"/>
  <c r="K194" i="8"/>
  <c r="J194" i="8"/>
  <c r="I194" i="8"/>
  <c r="H194" i="8"/>
  <c r="G194" i="8"/>
  <c r="F194" i="8"/>
  <c r="A194" i="8"/>
  <c r="Q193" i="8"/>
  <c r="P193" i="8"/>
  <c r="O193" i="8"/>
  <c r="N193" i="8"/>
  <c r="M193" i="8"/>
  <c r="L193" i="8"/>
  <c r="K193" i="8"/>
  <c r="J193" i="8"/>
  <c r="I193" i="8"/>
  <c r="H193" i="8"/>
  <c r="G193" i="8"/>
  <c r="F193" i="8"/>
  <c r="A193" i="8"/>
  <c r="Q192" i="8"/>
  <c r="P192" i="8"/>
  <c r="O192" i="8"/>
  <c r="N192" i="8"/>
  <c r="M192" i="8"/>
  <c r="L192" i="8"/>
  <c r="K192" i="8"/>
  <c r="J192" i="8"/>
  <c r="I192" i="8"/>
  <c r="H192" i="8"/>
  <c r="G192" i="8"/>
  <c r="F192" i="8"/>
  <c r="A192" i="8"/>
  <c r="Q191" i="8"/>
  <c r="P191" i="8"/>
  <c r="O191" i="8"/>
  <c r="N191" i="8"/>
  <c r="M191" i="8"/>
  <c r="L191" i="8"/>
  <c r="K191" i="8"/>
  <c r="J191" i="8"/>
  <c r="I191" i="8"/>
  <c r="H191" i="8"/>
  <c r="G191" i="8"/>
  <c r="F191" i="8"/>
  <c r="A191" i="8"/>
  <c r="Q190" i="8"/>
  <c r="P190" i="8"/>
  <c r="O190" i="8"/>
  <c r="N190" i="8"/>
  <c r="M190" i="8"/>
  <c r="L190" i="8"/>
  <c r="K190" i="8"/>
  <c r="J190" i="8"/>
  <c r="I190" i="8"/>
  <c r="H190" i="8"/>
  <c r="G190" i="8"/>
  <c r="F190" i="8"/>
  <c r="B190" i="8"/>
  <c r="A190" i="8"/>
  <c r="Q189" i="8"/>
  <c r="P189" i="8"/>
  <c r="O189" i="8"/>
  <c r="N189" i="8"/>
  <c r="M189" i="8"/>
  <c r="L189" i="8"/>
  <c r="K189" i="8"/>
  <c r="J189" i="8"/>
  <c r="I189" i="8"/>
  <c r="H189" i="8"/>
  <c r="G189" i="8"/>
  <c r="F189" i="8"/>
  <c r="B189" i="8"/>
  <c r="A189" i="8"/>
  <c r="Q188" i="8"/>
  <c r="P188" i="8"/>
  <c r="O188" i="8"/>
  <c r="N188" i="8"/>
  <c r="M188" i="8"/>
  <c r="L188" i="8"/>
  <c r="K188" i="8"/>
  <c r="J188" i="8"/>
  <c r="I188" i="8"/>
  <c r="H188" i="8"/>
  <c r="G188" i="8"/>
  <c r="F188" i="8"/>
  <c r="B188" i="8"/>
  <c r="A188" i="8"/>
  <c r="Q187" i="8"/>
  <c r="P187" i="8"/>
  <c r="O187" i="8"/>
  <c r="N187" i="8"/>
  <c r="M187" i="8"/>
  <c r="L187" i="8"/>
  <c r="K187" i="8"/>
  <c r="J187" i="8"/>
  <c r="I187" i="8"/>
  <c r="H187" i="8"/>
  <c r="G187" i="8"/>
  <c r="F187" i="8"/>
  <c r="B187" i="8"/>
  <c r="A187" i="8"/>
  <c r="Q186" i="8"/>
  <c r="P186" i="8"/>
  <c r="O186" i="8"/>
  <c r="N186" i="8"/>
  <c r="M186" i="8"/>
  <c r="L186" i="8"/>
  <c r="K186" i="8"/>
  <c r="J186" i="8"/>
  <c r="I186" i="8"/>
  <c r="H186" i="8"/>
  <c r="G186" i="8"/>
  <c r="F186" i="8"/>
  <c r="B186" i="8"/>
  <c r="A186" i="8"/>
  <c r="Q185" i="8"/>
  <c r="P185" i="8"/>
  <c r="O185" i="8"/>
  <c r="N185" i="8"/>
  <c r="M185" i="8"/>
  <c r="L185" i="8"/>
  <c r="K185" i="8"/>
  <c r="J185" i="8"/>
  <c r="I185" i="8"/>
  <c r="H185" i="8"/>
  <c r="G185" i="8"/>
  <c r="F185" i="8"/>
  <c r="B185" i="8"/>
  <c r="A185" i="8"/>
  <c r="Q184" i="8"/>
  <c r="P184" i="8"/>
  <c r="O184" i="8"/>
  <c r="N184" i="8"/>
  <c r="M184" i="8"/>
  <c r="L184" i="8"/>
  <c r="K184" i="8"/>
  <c r="J184" i="8"/>
  <c r="I184" i="8"/>
  <c r="H184" i="8"/>
  <c r="G184" i="8"/>
  <c r="F184" i="8"/>
  <c r="B184" i="8"/>
  <c r="A184" i="8"/>
  <c r="Q183" i="8"/>
  <c r="P183" i="8"/>
  <c r="O183" i="8"/>
  <c r="N183" i="8"/>
  <c r="M183" i="8"/>
  <c r="L183" i="8"/>
  <c r="K183" i="8"/>
  <c r="J183" i="8"/>
  <c r="I183" i="8"/>
  <c r="H183" i="8"/>
  <c r="G183" i="8"/>
  <c r="F183" i="8"/>
  <c r="B183" i="8"/>
  <c r="A183" i="8"/>
  <c r="Q182" i="8"/>
  <c r="P182" i="8"/>
  <c r="O182" i="8"/>
  <c r="N182" i="8"/>
  <c r="M182" i="8"/>
  <c r="L182" i="8"/>
  <c r="K182" i="8"/>
  <c r="J182" i="8"/>
  <c r="I182" i="8"/>
  <c r="H182" i="8"/>
  <c r="G182" i="8"/>
  <c r="F182" i="8"/>
  <c r="B182" i="8"/>
  <c r="A182" i="8"/>
  <c r="Q181" i="8"/>
  <c r="P181" i="8"/>
  <c r="O181" i="8"/>
  <c r="N181" i="8"/>
  <c r="M181" i="8"/>
  <c r="L181" i="8"/>
  <c r="K181" i="8"/>
  <c r="J181" i="8"/>
  <c r="I181" i="8"/>
  <c r="H181" i="8"/>
  <c r="G181" i="8"/>
  <c r="F181" i="8"/>
  <c r="B181" i="8"/>
  <c r="A181" i="8"/>
  <c r="Q180" i="8"/>
  <c r="P180" i="8"/>
  <c r="O180" i="8"/>
  <c r="N180" i="8"/>
  <c r="M180" i="8"/>
  <c r="L180" i="8"/>
  <c r="K180" i="8"/>
  <c r="J180" i="8"/>
  <c r="I180" i="8"/>
  <c r="H180" i="8"/>
  <c r="G180" i="8"/>
  <c r="F180" i="8"/>
  <c r="B180" i="8"/>
  <c r="A180" i="8"/>
  <c r="Q179" i="8"/>
  <c r="P179" i="8"/>
  <c r="O179" i="8"/>
  <c r="N179" i="8"/>
  <c r="M179" i="8"/>
  <c r="L179" i="8"/>
  <c r="K179" i="8"/>
  <c r="J179" i="8"/>
  <c r="I179" i="8"/>
  <c r="H179" i="8"/>
  <c r="G179" i="8"/>
  <c r="F179" i="8"/>
  <c r="B179" i="8"/>
  <c r="A179" i="8"/>
  <c r="Q178" i="8"/>
  <c r="P178" i="8"/>
  <c r="O178" i="8"/>
  <c r="N178" i="8"/>
  <c r="M178" i="8"/>
  <c r="L178" i="8"/>
  <c r="K178" i="8"/>
  <c r="J178" i="8"/>
  <c r="I178" i="8"/>
  <c r="H178" i="8"/>
  <c r="G178" i="8"/>
  <c r="F178" i="8"/>
  <c r="B178" i="8"/>
  <c r="A178" i="8"/>
  <c r="Q177" i="8"/>
  <c r="P177" i="8"/>
  <c r="O177" i="8"/>
  <c r="N177" i="8"/>
  <c r="M177" i="8"/>
  <c r="L177" i="8"/>
  <c r="K177" i="8"/>
  <c r="J177" i="8"/>
  <c r="I177" i="8"/>
  <c r="H177" i="8"/>
  <c r="G177" i="8"/>
  <c r="F177" i="8"/>
  <c r="B177" i="8"/>
  <c r="A177" i="8"/>
  <c r="Q176" i="8"/>
  <c r="P176" i="8"/>
  <c r="O176" i="8"/>
  <c r="N176" i="8"/>
  <c r="M176" i="8"/>
  <c r="L176" i="8"/>
  <c r="K176" i="8"/>
  <c r="J176" i="8"/>
  <c r="I176" i="8"/>
  <c r="H176" i="8"/>
  <c r="G176" i="8"/>
  <c r="F176" i="8"/>
  <c r="B176" i="8"/>
  <c r="A176" i="8"/>
  <c r="Q175" i="8"/>
  <c r="P175" i="8"/>
  <c r="O175" i="8"/>
  <c r="N175" i="8"/>
  <c r="M175" i="8"/>
  <c r="L175" i="8"/>
  <c r="K175" i="8"/>
  <c r="J175" i="8"/>
  <c r="I175" i="8"/>
  <c r="H175" i="8"/>
  <c r="G175" i="8"/>
  <c r="F175" i="8"/>
  <c r="B175" i="8"/>
  <c r="A175" i="8"/>
  <c r="Q174" i="8"/>
  <c r="P174" i="8"/>
  <c r="O174" i="8"/>
  <c r="N174" i="8"/>
  <c r="M174" i="8"/>
  <c r="L174" i="8"/>
  <c r="K174" i="8"/>
  <c r="J174" i="8"/>
  <c r="I174" i="8"/>
  <c r="H174" i="8"/>
  <c r="G174" i="8"/>
  <c r="F174" i="8"/>
  <c r="B174" i="8"/>
  <c r="A174" i="8"/>
  <c r="Q173" i="8"/>
  <c r="P173" i="8"/>
  <c r="O173" i="8"/>
  <c r="N173" i="8"/>
  <c r="M173" i="8"/>
  <c r="L173" i="8"/>
  <c r="K173" i="8"/>
  <c r="J173" i="8"/>
  <c r="I173" i="8"/>
  <c r="H173" i="8"/>
  <c r="G173" i="8"/>
  <c r="F173" i="8"/>
  <c r="B173" i="8"/>
  <c r="A173" i="8"/>
  <c r="Q172" i="8"/>
  <c r="P172" i="8"/>
  <c r="O172" i="8"/>
  <c r="N172" i="8"/>
  <c r="M172" i="8"/>
  <c r="L172" i="8"/>
  <c r="K172" i="8"/>
  <c r="J172" i="8"/>
  <c r="I172" i="8"/>
  <c r="H172" i="8"/>
  <c r="G172" i="8"/>
  <c r="F172" i="8"/>
  <c r="B172" i="8"/>
  <c r="A172" i="8"/>
  <c r="Q171" i="8"/>
  <c r="P171" i="8"/>
  <c r="O171" i="8"/>
  <c r="N171" i="8"/>
  <c r="M171" i="8"/>
  <c r="L171" i="8"/>
  <c r="K171" i="8"/>
  <c r="J171" i="8"/>
  <c r="I171" i="8"/>
  <c r="H171" i="8"/>
  <c r="G171" i="8"/>
  <c r="F171" i="8"/>
  <c r="B171" i="8"/>
  <c r="A171" i="8"/>
  <c r="Q170" i="8"/>
  <c r="P170" i="8"/>
  <c r="O170" i="8"/>
  <c r="N170" i="8"/>
  <c r="M170" i="8"/>
  <c r="L170" i="8"/>
  <c r="K170" i="8"/>
  <c r="J170" i="8"/>
  <c r="I170" i="8"/>
  <c r="H170" i="8"/>
  <c r="G170" i="8"/>
  <c r="F170" i="8"/>
  <c r="A170" i="8"/>
  <c r="Q169" i="8"/>
  <c r="P169" i="8"/>
  <c r="O169" i="8"/>
  <c r="N169" i="8"/>
  <c r="M169" i="8"/>
  <c r="L169" i="8"/>
  <c r="K169" i="8"/>
  <c r="J169" i="8"/>
  <c r="I169" i="8"/>
  <c r="H169" i="8"/>
  <c r="G169" i="8"/>
  <c r="F169" i="8"/>
  <c r="A169" i="8"/>
  <c r="Q168" i="8"/>
  <c r="P168" i="8"/>
  <c r="O168" i="8"/>
  <c r="N168" i="8"/>
  <c r="M168" i="8"/>
  <c r="L168" i="8"/>
  <c r="K168" i="8"/>
  <c r="J168" i="8"/>
  <c r="I168" i="8"/>
  <c r="H168" i="8"/>
  <c r="G168" i="8"/>
  <c r="F168" i="8"/>
  <c r="A168" i="8"/>
  <c r="Q167" i="8"/>
  <c r="P167" i="8"/>
  <c r="O167" i="8"/>
  <c r="N167" i="8"/>
  <c r="M167" i="8"/>
  <c r="L167" i="8"/>
  <c r="K167" i="8"/>
  <c r="J167" i="8"/>
  <c r="I167" i="8"/>
  <c r="H167" i="8"/>
  <c r="G167" i="8"/>
  <c r="F167" i="8"/>
  <c r="A167" i="8"/>
  <c r="Q166" i="8"/>
  <c r="P166" i="8"/>
  <c r="O166" i="8"/>
  <c r="N166" i="8"/>
  <c r="M166" i="8"/>
  <c r="L166" i="8"/>
  <c r="K166" i="8"/>
  <c r="J166" i="8"/>
  <c r="I166" i="8"/>
  <c r="H166" i="8"/>
  <c r="G166" i="8"/>
  <c r="F166" i="8"/>
  <c r="B166" i="8"/>
  <c r="A166" i="8"/>
  <c r="Q165" i="8"/>
  <c r="P165" i="8"/>
  <c r="O165" i="8"/>
  <c r="N165" i="8"/>
  <c r="M165" i="8"/>
  <c r="L165" i="8"/>
  <c r="K165" i="8"/>
  <c r="J165" i="8"/>
  <c r="I165" i="8"/>
  <c r="H165" i="8"/>
  <c r="G165" i="8"/>
  <c r="F165" i="8"/>
  <c r="B165" i="8"/>
  <c r="A165" i="8"/>
  <c r="Q164" i="8"/>
  <c r="P164" i="8"/>
  <c r="O164" i="8"/>
  <c r="N164" i="8"/>
  <c r="M164" i="8"/>
  <c r="L164" i="8"/>
  <c r="K164" i="8"/>
  <c r="J164" i="8"/>
  <c r="I164" i="8"/>
  <c r="H164" i="8"/>
  <c r="G164" i="8"/>
  <c r="F164" i="8"/>
  <c r="B164" i="8"/>
  <c r="A164" i="8"/>
  <c r="Q163" i="8"/>
  <c r="P163" i="8"/>
  <c r="O163" i="8"/>
  <c r="N163" i="8"/>
  <c r="M163" i="8"/>
  <c r="L163" i="8"/>
  <c r="K163" i="8"/>
  <c r="J163" i="8"/>
  <c r="I163" i="8"/>
  <c r="H163" i="8"/>
  <c r="G163" i="8"/>
  <c r="F163" i="8"/>
  <c r="B163" i="8"/>
  <c r="A163" i="8"/>
  <c r="Q162" i="8"/>
  <c r="P162" i="8"/>
  <c r="O162" i="8"/>
  <c r="N162" i="8"/>
  <c r="M162" i="8"/>
  <c r="L162" i="8"/>
  <c r="K162" i="8"/>
  <c r="J162" i="8"/>
  <c r="I162" i="8"/>
  <c r="H162" i="8"/>
  <c r="G162" i="8"/>
  <c r="F162" i="8"/>
  <c r="B162" i="8"/>
  <c r="A162" i="8"/>
  <c r="Q161" i="8"/>
  <c r="P161" i="8"/>
  <c r="O161" i="8"/>
  <c r="N161" i="8"/>
  <c r="M161" i="8"/>
  <c r="L161" i="8"/>
  <c r="K161" i="8"/>
  <c r="J161" i="8"/>
  <c r="I161" i="8"/>
  <c r="H161" i="8"/>
  <c r="G161" i="8"/>
  <c r="F161" i="8"/>
  <c r="B161" i="8"/>
  <c r="A161" i="8"/>
  <c r="Q160" i="8"/>
  <c r="P160" i="8"/>
  <c r="O160" i="8"/>
  <c r="N160" i="8"/>
  <c r="M160" i="8"/>
  <c r="L160" i="8"/>
  <c r="K160" i="8"/>
  <c r="J160" i="8"/>
  <c r="I160" i="8"/>
  <c r="H160" i="8"/>
  <c r="G160" i="8"/>
  <c r="F160" i="8"/>
  <c r="B160" i="8"/>
  <c r="A160" i="8"/>
  <c r="Q159" i="8"/>
  <c r="P159" i="8"/>
  <c r="O159" i="8"/>
  <c r="N159" i="8"/>
  <c r="M159" i="8"/>
  <c r="L159" i="8"/>
  <c r="K159" i="8"/>
  <c r="J159" i="8"/>
  <c r="I159" i="8"/>
  <c r="H159" i="8"/>
  <c r="G159" i="8"/>
  <c r="F159" i="8"/>
  <c r="B159" i="8"/>
  <c r="A159" i="8"/>
  <c r="Q158" i="8"/>
  <c r="P158" i="8"/>
  <c r="O158" i="8"/>
  <c r="N158" i="8"/>
  <c r="M158" i="8"/>
  <c r="L158" i="8"/>
  <c r="K158" i="8"/>
  <c r="J158" i="8"/>
  <c r="I158" i="8"/>
  <c r="H158" i="8"/>
  <c r="G158" i="8"/>
  <c r="F158" i="8"/>
  <c r="B158" i="8"/>
  <c r="A158" i="8"/>
  <c r="Q157" i="8"/>
  <c r="P157" i="8"/>
  <c r="O157" i="8"/>
  <c r="N157" i="8"/>
  <c r="M157" i="8"/>
  <c r="L157" i="8"/>
  <c r="K157" i="8"/>
  <c r="J157" i="8"/>
  <c r="I157" i="8"/>
  <c r="H157" i="8"/>
  <c r="G157" i="8"/>
  <c r="F157" i="8"/>
  <c r="B157" i="8"/>
  <c r="A157" i="8"/>
  <c r="Q156" i="8"/>
  <c r="P156" i="8"/>
  <c r="O156" i="8"/>
  <c r="N156" i="8"/>
  <c r="M156" i="8"/>
  <c r="L156" i="8"/>
  <c r="K156" i="8"/>
  <c r="J156" i="8"/>
  <c r="I156" i="8"/>
  <c r="H156" i="8"/>
  <c r="G156" i="8"/>
  <c r="F156" i="8"/>
  <c r="B156" i="8"/>
  <c r="A156" i="8"/>
  <c r="Q155" i="8"/>
  <c r="P155" i="8"/>
  <c r="O155" i="8"/>
  <c r="N155" i="8"/>
  <c r="M155" i="8"/>
  <c r="L155" i="8"/>
  <c r="K155" i="8"/>
  <c r="J155" i="8"/>
  <c r="I155" i="8"/>
  <c r="H155" i="8"/>
  <c r="G155" i="8"/>
  <c r="F155" i="8"/>
  <c r="B155" i="8"/>
  <c r="A155" i="8"/>
  <c r="Q154" i="8"/>
  <c r="P154" i="8"/>
  <c r="O154" i="8"/>
  <c r="N154" i="8"/>
  <c r="M154" i="8"/>
  <c r="L154" i="8"/>
  <c r="K154" i="8"/>
  <c r="J154" i="8"/>
  <c r="I154" i="8"/>
  <c r="H154" i="8"/>
  <c r="G154" i="8"/>
  <c r="F154" i="8"/>
  <c r="B154" i="8"/>
  <c r="A154" i="8"/>
  <c r="Q153" i="8"/>
  <c r="P153" i="8"/>
  <c r="O153" i="8"/>
  <c r="N153" i="8"/>
  <c r="M153" i="8"/>
  <c r="L153" i="8"/>
  <c r="K153" i="8"/>
  <c r="J153" i="8"/>
  <c r="I153" i="8"/>
  <c r="H153" i="8"/>
  <c r="G153" i="8"/>
  <c r="F153" i="8"/>
  <c r="B153" i="8"/>
  <c r="A153" i="8"/>
  <c r="Q152" i="8"/>
  <c r="P152" i="8"/>
  <c r="O152" i="8"/>
  <c r="N152" i="8"/>
  <c r="M152" i="8"/>
  <c r="L152" i="8"/>
  <c r="K152" i="8"/>
  <c r="J152" i="8"/>
  <c r="I152" i="8"/>
  <c r="H152" i="8"/>
  <c r="G152" i="8"/>
  <c r="F152" i="8"/>
  <c r="B152" i="8"/>
  <c r="A152" i="8"/>
  <c r="Q151" i="8"/>
  <c r="P151" i="8"/>
  <c r="O151" i="8"/>
  <c r="N151" i="8"/>
  <c r="M151" i="8"/>
  <c r="L151" i="8"/>
  <c r="K151" i="8"/>
  <c r="J151" i="8"/>
  <c r="I151" i="8"/>
  <c r="H151" i="8"/>
  <c r="G151" i="8"/>
  <c r="F151" i="8"/>
  <c r="B151" i="8"/>
  <c r="A151" i="8"/>
  <c r="Q150" i="8"/>
  <c r="P150" i="8"/>
  <c r="O150" i="8"/>
  <c r="N150" i="8"/>
  <c r="M150" i="8"/>
  <c r="L150" i="8"/>
  <c r="K150" i="8"/>
  <c r="J150" i="8"/>
  <c r="I150" i="8"/>
  <c r="H150" i="8"/>
  <c r="G150" i="8"/>
  <c r="F150" i="8"/>
  <c r="B150" i="8"/>
  <c r="A150" i="8"/>
  <c r="Q149" i="8"/>
  <c r="P149" i="8"/>
  <c r="O149" i="8"/>
  <c r="N149" i="8"/>
  <c r="M149" i="8"/>
  <c r="L149" i="8"/>
  <c r="K149" i="8"/>
  <c r="J149" i="8"/>
  <c r="I149" i="8"/>
  <c r="H149" i="8"/>
  <c r="G149" i="8"/>
  <c r="F149" i="8"/>
  <c r="B149" i="8"/>
  <c r="A149" i="8"/>
  <c r="Q148" i="8"/>
  <c r="P148" i="8"/>
  <c r="O148" i="8"/>
  <c r="N148" i="8"/>
  <c r="M148" i="8"/>
  <c r="L148" i="8"/>
  <c r="K148" i="8"/>
  <c r="J148" i="8"/>
  <c r="I148" i="8"/>
  <c r="H148" i="8"/>
  <c r="G148" i="8"/>
  <c r="F148" i="8"/>
  <c r="B148" i="8"/>
  <c r="A148" i="8"/>
  <c r="Q147" i="8"/>
  <c r="P147" i="8"/>
  <c r="O147" i="8"/>
  <c r="N147" i="8"/>
  <c r="M147" i="8"/>
  <c r="L147" i="8"/>
  <c r="K147" i="8"/>
  <c r="J147" i="8"/>
  <c r="I147" i="8"/>
  <c r="H147" i="8"/>
  <c r="G147" i="8"/>
  <c r="F147" i="8"/>
  <c r="B147" i="8"/>
  <c r="A147" i="8"/>
  <c r="Q146" i="8"/>
  <c r="P146" i="8"/>
  <c r="O146" i="8"/>
  <c r="N146" i="8"/>
  <c r="M146" i="8"/>
  <c r="L146" i="8"/>
  <c r="K146" i="8"/>
  <c r="J146" i="8"/>
  <c r="I146" i="8"/>
  <c r="H146" i="8"/>
  <c r="G146" i="8"/>
  <c r="F146" i="8"/>
  <c r="A146" i="8"/>
  <c r="Q145" i="8"/>
  <c r="P145" i="8"/>
  <c r="O145" i="8"/>
  <c r="N145" i="8"/>
  <c r="M145" i="8"/>
  <c r="L145" i="8"/>
  <c r="K145" i="8"/>
  <c r="J145" i="8"/>
  <c r="I145" i="8"/>
  <c r="H145" i="8"/>
  <c r="G145" i="8"/>
  <c r="F145" i="8"/>
  <c r="A145" i="8"/>
  <c r="Q144" i="8"/>
  <c r="P144" i="8"/>
  <c r="O144" i="8"/>
  <c r="N144" i="8"/>
  <c r="M144" i="8"/>
  <c r="L144" i="8"/>
  <c r="K144" i="8"/>
  <c r="J144" i="8"/>
  <c r="I144" i="8"/>
  <c r="H144" i="8"/>
  <c r="G144" i="8"/>
  <c r="F144" i="8"/>
  <c r="A144" i="8"/>
  <c r="Q143" i="8"/>
  <c r="P143" i="8"/>
  <c r="O143" i="8"/>
  <c r="N143" i="8"/>
  <c r="M143" i="8"/>
  <c r="L143" i="8"/>
  <c r="K143" i="8"/>
  <c r="J143" i="8"/>
  <c r="I143" i="8"/>
  <c r="H143" i="8"/>
  <c r="G143" i="8"/>
  <c r="F143" i="8"/>
  <c r="A143" i="8"/>
  <c r="Q142" i="8"/>
  <c r="P142" i="8"/>
  <c r="O142" i="8"/>
  <c r="N142" i="8"/>
  <c r="M142" i="8"/>
  <c r="L142" i="8"/>
  <c r="K142" i="8"/>
  <c r="J142" i="8"/>
  <c r="I142" i="8"/>
  <c r="H142" i="8"/>
  <c r="G142" i="8"/>
  <c r="F142" i="8"/>
  <c r="B142" i="8"/>
  <c r="A142" i="8"/>
  <c r="Q141" i="8"/>
  <c r="P141" i="8"/>
  <c r="O141" i="8"/>
  <c r="N141" i="8"/>
  <c r="M141" i="8"/>
  <c r="L141" i="8"/>
  <c r="K141" i="8"/>
  <c r="J141" i="8"/>
  <c r="I141" i="8"/>
  <c r="H141" i="8"/>
  <c r="G141" i="8"/>
  <c r="F141" i="8"/>
  <c r="B141" i="8"/>
  <c r="A141" i="8"/>
  <c r="Q140" i="8"/>
  <c r="P140" i="8"/>
  <c r="O140" i="8"/>
  <c r="N140" i="8"/>
  <c r="M140" i="8"/>
  <c r="L140" i="8"/>
  <c r="K140" i="8"/>
  <c r="J140" i="8"/>
  <c r="I140" i="8"/>
  <c r="H140" i="8"/>
  <c r="G140" i="8"/>
  <c r="F140" i="8"/>
  <c r="B140" i="8"/>
  <c r="A140" i="8"/>
  <c r="Q139" i="8"/>
  <c r="P139" i="8"/>
  <c r="O139" i="8"/>
  <c r="N139" i="8"/>
  <c r="M139" i="8"/>
  <c r="L139" i="8"/>
  <c r="K139" i="8"/>
  <c r="J139" i="8"/>
  <c r="I139" i="8"/>
  <c r="H139" i="8"/>
  <c r="G139" i="8"/>
  <c r="F139" i="8"/>
  <c r="B139" i="8"/>
  <c r="A139" i="8"/>
  <c r="Q138" i="8"/>
  <c r="P138" i="8"/>
  <c r="O138" i="8"/>
  <c r="N138" i="8"/>
  <c r="M138" i="8"/>
  <c r="L138" i="8"/>
  <c r="K138" i="8"/>
  <c r="J138" i="8"/>
  <c r="I138" i="8"/>
  <c r="H138" i="8"/>
  <c r="G138" i="8"/>
  <c r="F138" i="8"/>
  <c r="B138" i="8"/>
  <c r="A138" i="8"/>
  <c r="Q137" i="8"/>
  <c r="P137" i="8"/>
  <c r="O137" i="8"/>
  <c r="N137" i="8"/>
  <c r="M137" i="8"/>
  <c r="L137" i="8"/>
  <c r="K137" i="8"/>
  <c r="J137" i="8"/>
  <c r="I137" i="8"/>
  <c r="H137" i="8"/>
  <c r="G137" i="8"/>
  <c r="F137" i="8"/>
  <c r="B137" i="8"/>
  <c r="A137" i="8"/>
  <c r="Q136" i="8"/>
  <c r="P136" i="8"/>
  <c r="O136" i="8"/>
  <c r="N136" i="8"/>
  <c r="M136" i="8"/>
  <c r="L136" i="8"/>
  <c r="K136" i="8"/>
  <c r="J136" i="8"/>
  <c r="I136" i="8"/>
  <c r="H136" i="8"/>
  <c r="G136" i="8"/>
  <c r="F136" i="8"/>
  <c r="B136" i="8"/>
  <c r="A136" i="8"/>
  <c r="Q135" i="8"/>
  <c r="P135" i="8"/>
  <c r="O135" i="8"/>
  <c r="N135" i="8"/>
  <c r="M135" i="8"/>
  <c r="L135" i="8"/>
  <c r="K135" i="8"/>
  <c r="J135" i="8"/>
  <c r="I135" i="8"/>
  <c r="H135" i="8"/>
  <c r="G135" i="8"/>
  <c r="F135" i="8"/>
  <c r="B135" i="8"/>
  <c r="A135" i="8"/>
  <c r="Q134" i="8"/>
  <c r="P134" i="8"/>
  <c r="O134" i="8"/>
  <c r="N134" i="8"/>
  <c r="M134" i="8"/>
  <c r="L134" i="8"/>
  <c r="K134" i="8"/>
  <c r="J134" i="8"/>
  <c r="I134" i="8"/>
  <c r="H134" i="8"/>
  <c r="G134" i="8"/>
  <c r="F134" i="8"/>
  <c r="B134" i="8"/>
  <c r="A134" i="8"/>
  <c r="Q133" i="8"/>
  <c r="P133" i="8"/>
  <c r="O133" i="8"/>
  <c r="N133" i="8"/>
  <c r="M133" i="8"/>
  <c r="L133" i="8"/>
  <c r="K133" i="8"/>
  <c r="J133" i="8"/>
  <c r="I133" i="8"/>
  <c r="H133" i="8"/>
  <c r="G133" i="8"/>
  <c r="F133" i="8"/>
  <c r="B133" i="8"/>
  <c r="A133" i="8"/>
  <c r="Q132" i="8"/>
  <c r="P132" i="8"/>
  <c r="O132" i="8"/>
  <c r="N132" i="8"/>
  <c r="M132" i="8"/>
  <c r="L132" i="8"/>
  <c r="K132" i="8"/>
  <c r="J132" i="8"/>
  <c r="I132" i="8"/>
  <c r="H132" i="8"/>
  <c r="G132" i="8"/>
  <c r="F132" i="8"/>
  <c r="B132" i="8"/>
  <c r="A132" i="8"/>
  <c r="Q131" i="8"/>
  <c r="P131" i="8"/>
  <c r="O131" i="8"/>
  <c r="N131" i="8"/>
  <c r="M131" i="8"/>
  <c r="L131" i="8"/>
  <c r="K131" i="8"/>
  <c r="J131" i="8"/>
  <c r="I131" i="8"/>
  <c r="H131" i="8"/>
  <c r="G131" i="8"/>
  <c r="F131" i="8"/>
  <c r="B131" i="8"/>
  <c r="A131" i="8"/>
  <c r="Q130" i="8"/>
  <c r="P130" i="8"/>
  <c r="O130" i="8"/>
  <c r="N130" i="8"/>
  <c r="M130" i="8"/>
  <c r="L130" i="8"/>
  <c r="K130" i="8"/>
  <c r="J130" i="8"/>
  <c r="I130" i="8"/>
  <c r="H130" i="8"/>
  <c r="G130" i="8"/>
  <c r="F130" i="8"/>
  <c r="B130" i="8"/>
  <c r="A130" i="8"/>
  <c r="Q129" i="8"/>
  <c r="P129" i="8"/>
  <c r="O129" i="8"/>
  <c r="N129" i="8"/>
  <c r="M129" i="8"/>
  <c r="L129" i="8"/>
  <c r="K129" i="8"/>
  <c r="J129" i="8"/>
  <c r="I129" i="8"/>
  <c r="H129" i="8"/>
  <c r="G129" i="8"/>
  <c r="F129" i="8"/>
  <c r="B129" i="8"/>
  <c r="A129" i="8"/>
  <c r="Q128" i="8"/>
  <c r="P128" i="8"/>
  <c r="O128" i="8"/>
  <c r="N128" i="8"/>
  <c r="M128" i="8"/>
  <c r="L128" i="8"/>
  <c r="K128" i="8"/>
  <c r="J128" i="8"/>
  <c r="I128" i="8"/>
  <c r="H128" i="8"/>
  <c r="G128" i="8"/>
  <c r="F128" i="8"/>
  <c r="B128" i="8"/>
  <c r="A128" i="8"/>
  <c r="Q127" i="8"/>
  <c r="P127" i="8"/>
  <c r="O127" i="8"/>
  <c r="N127" i="8"/>
  <c r="M127" i="8"/>
  <c r="L127" i="8"/>
  <c r="K127" i="8"/>
  <c r="J127" i="8"/>
  <c r="I127" i="8"/>
  <c r="H127" i="8"/>
  <c r="G127" i="8"/>
  <c r="F127" i="8"/>
  <c r="B127" i="8"/>
  <c r="A127" i="8"/>
  <c r="Q126" i="8"/>
  <c r="P126" i="8"/>
  <c r="O126" i="8"/>
  <c r="N126" i="8"/>
  <c r="M126" i="8"/>
  <c r="L126" i="8"/>
  <c r="K126" i="8"/>
  <c r="J126" i="8"/>
  <c r="I126" i="8"/>
  <c r="H126" i="8"/>
  <c r="G126" i="8"/>
  <c r="F126" i="8"/>
  <c r="B126" i="8"/>
  <c r="A126" i="8"/>
  <c r="Q125" i="8"/>
  <c r="P125" i="8"/>
  <c r="O125" i="8"/>
  <c r="N125" i="8"/>
  <c r="M125" i="8"/>
  <c r="L125" i="8"/>
  <c r="K125" i="8"/>
  <c r="J125" i="8"/>
  <c r="I125" i="8"/>
  <c r="H125" i="8"/>
  <c r="G125" i="8"/>
  <c r="F125" i="8"/>
  <c r="B125" i="8"/>
  <c r="A125" i="8"/>
  <c r="Q124" i="8"/>
  <c r="P124" i="8"/>
  <c r="O124" i="8"/>
  <c r="N124" i="8"/>
  <c r="M124" i="8"/>
  <c r="L124" i="8"/>
  <c r="K124" i="8"/>
  <c r="J124" i="8"/>
  <c r="I124" i="8"/>
  <c r="H124" i="8"/>
  <c r="G124" i="8"/>
  <c r="F124" i="8"/>
  <c r="B124" i="8"/>
  <c r="A124" i="8"/>
  <c r="Q123" i="8"/>
  <c r="P123" i="8"/>
  <c r="O123" i="8"/>
  <c r="N123" i="8"/>
  <c r="M123" i="8"/>
  <c r="L123" i="8"/>
  <c r="K123" i="8"/>
  <c r="J123" i="8"/>
  <c r="I123" i="8"/>
  <c r="H123" i="8"/>
  <c r="G123" i="8"/>
  <c r="F123" i="8"/>
  <c r="B123" i="8"/>
  <c r="A123" i="8"/>
  <c r="Q122" i="8"/>
  <c r="P122" i="8"/>
  <c r="O122" i="8"/>
  <c r="N122" i="8"/>
  <c r="M122" i="8"/>
  <c r="L122" i="8"/>
  <c r="K122" i="8"/>
  <c r="J122" i="8"/>
  <c r="I122" i="8"/>
  <c r="H122" i="8"/>
  <c r="G122" i="8"/>
  <c r="F122" i="8"/>
  <c r="A122" i="8"/>
  <c r="Q121" i="8"/>
  <c r="P121" i="8"/>
  <c r="O121" i="8"/>
  <c r="N121" i="8"/>
  <c r="M121" i="8"/>
  <c r="L121" i="8"/>
  <c r="K121" i="8"/>
  <c r="J121" i="8"/>
  <c r="I121" i="8"/>
  <c r="H121" i="8"/>
  <c r="G121" i="8"/>
  <c r="F121" i="8"/>
  <c r="A121" i="8"/>
  <c r="Q120" i="8"/>
  <c r="P120" i="8"/>
  <c r="O120" i="8"/>
  <c r="N120" i="8"/>
  <c r="M120" i="8"/>
  <c r="L120" i="8"/>
  <c r="K120" i="8"/>
  <c r="J120" i="8"/>
  <c r="I120" i="8"/>
  <c r="H120" i="8"/>
  <c r="G120" i="8"/>
  <c r="F120" i="8"/>
  <c r="A120" i="8"/>
  <c r="Q119" i="8"/>
  <c r="P119" i="8"/>
  <c r="O119" i="8"/>
  <c r="N119" i="8"/>
  <c r="M119" i="8"/>
  <c r="L119" i="8"/>
  <c r="K119" i="8"/>
  <c r="J119" i="8"/>
  <c r="I119" i="8"/>
  <c r="H119" i="8"/>
  <c r="G119" i="8"/>
  <c r="F119" i="8"/>
  <c r="A119" i="8"/>
  <c r="Q118" i="8"/>
  <c r="P118" i="8"/>
  <c r="O118" i="8"/>
  <c r="N118" i="8"/>
  <c r="M118" i="8"/>
  <c r="L118" i="8"/>
  <c r="K118" i="8"/>
  <c r="J118" i="8"/>
  <c r="I118" i="8"/>
  <c r="H118" i="8"/>
  <c r="G118" i="8"/>
  <c r="F118" i="8"/>
  <c r="B118" i="8"/>
  <c r="A118" i="8"/>
  <c r="Q117" i="8"/>
  <c r="P117" i="8"/>
  <c r="O117" i="8"/>
  <c r="N117" i="8"/>
  <c r="M117" i="8"/>
  <c r="L117" i="8"/>
  <c r="K117" i="8"/>
  <c r="J117" i="8"/>
  <c r="I117" i="8"/>
  <c r="H117" i="8"/>
  <c r="G117" i="8"/>
  <c r="F117" i="8"/>
  <c r="B117" i="8"/>
  <c r="A117" i="8"/>
  <c r="Q116" i="8"/>
  <c r="P116" i="8"/>
  <c r="O116" i="8"/>
  <c r="N116" i="8"/>
  <c r="M116" i="8"/>
  <c r="L116" i="8"/>
  <c r="K116" i="8"/>
  <c r="J116" i="8"/>
  <c r="I116" i="8"/>
  <c r="H116" i="8"/>
  <c r="G116" i="8"/>
  <c r="F116" i="8"/>
  <c r="B116" i="8"/>
  <c r="A116" i="8"/>
  <c r="Q115" i="8"/>
  <c r="P115" i="8"/>
  <c r="O115" i="8"/>
  <c r="N115" i="8"/>
  <c r="M115" i="8"/>
  <c r="L115" i="8"/>
  <c r="K115" i="8"/>
  <c r="J115" i="8"/>
  <c r="I115" i="8"/>
  <c r="H115" i="8"/>
  <c r="G115" i="8"/>
  <c r="F115" i="8"/>
  <c r="B115" i="8"/>
  <c r="A115" i="8"/>
  <c r="Q114" i="8"/>
  <c r="P114" i="8"/>
  <c r="O114" i="8"/>
  <c r="N114" i="8"/>
  <c r="M114" i="8"/>
  <c r="L114" i="8"/>
  <c r="K114" i="8"/>
  <c r="J114" i="8"/>
  <c r="I114" i="8"/>
  <c r="H114" i="8"/>
  <c r="G114" i="8"/>
  <c r="F114" i="8"/>
  <c r="B114" i="8"/>
  <c r="A114" i="8"/>
  <c r="Q113" i="8"/>
  <c r="P113" i="8"/>
  <c r="O113" i="8"/>
  <c r="N113" i="8"/>
  <c r="M113" i="8"/>
  <c r="L113" i="8"/>
  <c r="K113" i="8"/>
  <c r="J113" i="8"/>
  <c r="I113" i="8"/>
  <c r="H113" i="8"/>
  <c r="G113" i="8"/>
  <c r="F113" i="8"/>
  <c r="B113" i="8"/>
  <c r="A113" i="8"/>
  <c r="Q112" i="8"/>
  <c r="P112" i="8"/>
  <c r="O112" i="8"/>
  <c r="N112" i="8"/>
  <c r="M112" i="8"/>
  <c r="L112" i="8"/>
  <c r="K112" i="8"/>
  <c r="J112" i="8"/>
  <c r="I112" i="8"/>
  <c r="H112" i="8"/>
  <c r="G112" i="8"/>
  <c r="F112" i="8"/>
  <c r="B112" i="8"/>
  <c r="A112" i="8"/>
  <c r="Q111" i="8"/>
  <c r="P111" i="8"/>
  <c r="O111" i="8"/>
  <c r="N111" i="8"/>
  <c r="M111" i="8"/>
  <c r="L111" i="8"/>
  <c r="K111" i="8"/>
  <c r="J111" i="8"/>
  <c r="I111" i="8"/>
  <c r="H111" i="8"/>
  <c r="G111" i="8"/>
  <c r="F111" i="8"/>
  <c r="B111" i="8"/>
  <c r="A111" i="8"/>
  <c r="Q110" i="8"/>
  <c r="P110" i="8"/>
  <c r="O110" i="8"/>
  <c r="N110" i="8"/>
  <c r="M110" i="8"/>
  <c r="L110" i="8"/>
  <c r="K110" i="8"/>
  <c r="J110" i="8"/>
  <c r="I110" i="8"/>
  <c r="H110" i="8"/>
  <c r="G110" i="8"/>
  <c r="F110" i="8"/>
  <c r="B110" i="8"/>
  <c r="A110" i="8"/>
  <c r="Q109" i="8"/>
  <c r="P109" i="8"/>
  <c r="O109" i="8"/>
  <c r="N109" i="8"/>
  <c r="M109" i="8"/>
  <c r="L109" i="8"/>
  <c r="K109" i="8"/>
  <c r="J109" i="8"/>
  <c r="I109" i="8"/>
  <c r="H109" i="8"/>
  <c r="G109" i="8"/>
  <c r="F109" i="8"/>
  <c r="B109" i="8"/>
  <c r="A109" i="8"/>
  <c r="Q108" i="8"/>
  <c r="P108" i="8"/>
  <c r="O108" i="8"/>
  <c r="N108" i="8"/>
  <c r="M108" i="8"/>
  <c r="L108" i="8"/>
  <c r="K108" i="8"/>
  <c r="J108" i="8"/>
  <c r="I108" i="8"/>
  <c r="H108" i="8"/>
  <c r="G108" i="8"/>
  <c r="F108" i="8"/>
  <c r="B108" i="8"/>
  <c r="A108" i="8"/>
  <c r="Q107" i="8"/>
  <c r="P107" i="8"/>
  <c r="O107" i="8"/>
  <c r="N107" i="8"/>
  <c r="M107" i="8"/>
  <c r="L107" i="8"/>
  <c r="K107" i="8"/>
  <c r="J107" i="8"/>
  <c r="I107" i="8"/>
  <c r="H107" i="8"/>
  <c r="G107" i="8"/>
  <c r="F107" i="8"/>
  <c r="B107" i="8"/>
  <c r="A107" i="8"/>
  <c r="Q106" i="8"/>
  <c r="P106" i="8"/>
  <c r="O106" i="8"/>
  <c r="N106" i="8"/>
  <c r="M106" i="8"/>
  <c r="L106" i="8"/>
  <c r="K106" i="8"/>
  <c r="J106" i="8"/>
  <c r="I106" i="8"/>
  <c r="H106" i="8"/>
  <c r="G106" i="8"/>
  <c r="F106" i="8"/>
  <c r="B106" i="8"/>
  <c r="A106" i="8"/>
  <c r="Q105" i="8"/>
  <c r="P105" i="8"/>
  <c r="O105" i="8"/>
  <c r="N105" i="8"/>
  <c r="M105" i="8"/>
  <c r="L105" i="8"/>
  <c r="K105" i="8"/>
  <c r="J105" i="8"/>
  <c r="I105" i="8"/>
  <c r="H105" i="8"/>
  <c r="G105" i="8"/>
  <c r="F105" i="8"/>
  <c r="B105" i="8"/>
  <c r="A105" i="8"/>
  <c r="Q104" i="8"/>
  <c r="P104" i="8"/>
  <c r="O104" i="8"/>
  <c r="N104" i="8"/>
  <c r="M104" i="8"/>
  <c r="L104" i="8"/>
  <c r="K104" i="8"/>
  <c r="J104" i="8"/>
  <c r="I104" i="8"/>
  <c r="H104" i="8"/>
  <c r="G104" i="8"/>
  <c r="F104" i="8"/>
  <c r="B104" i="8"/>
  <c r="A104" i="8"/>
  <c r="Q103" i="8"/>
  <c r="P103" i="8"/>
  <c r="O103" i="8"/>
  <c r="N103" i="8"/>
  <c r="M103" i="8"/>
  <c r="L103" i="8"/>
  <c r="K103" i="8"/>
  <c r="J103" i="8"/>
  <c r="I103" i="8"/>
  <c r="H103" i="8"/>
  <c r="G103" i="8"/>
  <c r="F103" i="8"/>
  <c r="B103" i="8"/>
  <c r="A103" i="8"/>
  <c r="Q102" i="8"/>
  <c r="P102" i="8"/>
  <c r="O102" i="8"/>
  <c r="N102" i="8"/>
  <c r="M102" i="8"/>
  <c r="L102" i="8"/>
  <c r="K102" i="8"/>
  <c r="J102" i="8"/>
  <c r="I102" i="8"/>
  <c r="H102" i="8"/>
  <c r="G102" i="8"/>
  <c r="F102" i="8"/>
  <c r="B102" i="8"/>
  <c r="A102" i="8"/>
  <c r="Q101" i="8"/>
  <c r="P101" i="8"/>
  <c r="O101" i="8"/>
  <c r="N101" i="8"/>
  <c r="M101" i="8"/>
  <c r="L101" i="8"/>
  <c r="K101" i="8"/>
  <c r="J101" i="8"/>
  <c r="I101" i="8"/>
  <c r="H101" i="8"/>
  <c r="G101" i="8"/>
  <c r="F101" i="8"/>
  <c r="B101" i="8"/>
  <c r="A101" i="8"/>
  <c r="Q100" i="8"/>
  <c r="P100" i="8"/>
  <c r="O100" i="8"/>
  <c r="N100" i="8"/>
  <c r="M100" i="8"/>
  <c r="L100" i="8"/>
  <c r="K100" i="8"/>
  <c r="J100" i="8"/>
  <c r="I100" i="8"/>
  <c r="H100" i="8"/>
  <c r="G100" i="8"/>
  <c r="F100" i="8"/>
  <c r="B100" i="8"/>
  <c r="A100" i="8"/>
  <c r="Q99" i="8"/>
  <c r="P99" i="8"/>
  <c r="O99" i="8"/>
  <c r="N99" i="8"/>
  <c r="M99" i="8"/>
  <c r="L99" i="8"/>
  <c r="K99" i="8"/>
  <c r="J99" i="8"/>
  <c r="I99" i="8"/>
  <c r="H99" i="8"/>
  <c r="G99" i="8"/>
  <c r="F99" i="8"/>
  <c r="B99" i="8"/>
  <c r="A99" i="8"/>
  <c r="Q98" i="8"/>
  <c r="P98" i="8"/>
  <c r="O98" i="8"/>
  <c r="N98" i="8"/>
  <c r="M98" i="8"/>
  <c r="L98" i="8"/>
  <c r="K98" i="8"/>
  <c r="J98" i="8"/>
  <c r="I98" i="8"/>
  <c r="H98" i="8"/>
  <c r="G98" i="8"/>
  <c r="F98" i="8"/>
  <c r="A98" i="8"/>
  <c r="Q97" i="8"/>
  <c r="P97" i="8"/>
  <c r="O97" i="8"/>
  <c r="N97" i="8"/>
  <c r="M97" i="8"/>
  <c r="L97" i="8"/>
  <c r="K97" i="8"/>
  <c r="J97" i="8"/>
  <c r="I97" i="8"/>
  <c r="H97" i="8"/>
  <c r="G97" i="8"/>
  <c r="F97" i="8"/>
  <c r="A97" i="8"/>
  <c r="Q96" i="8"/>
  <c r="P96" i="8"/>
  <c r="O96" i="8"/>
  <c r="N96" i="8"/>
  <c r="M96" i="8"/>
  <c r="L96" i="8"/>
  <c r="K96" i="8"/>
  <c r="J96" i="8"/>
  <c r="I96" i="8"/>
  <c r="H96" i="8"/>
  <c r="G96" i="8"/>
  <c r="F96" i="8"/>
  <c r="A96" i="8"/>
  <c r="Q95" i="8"/>
  <c r="P95" i="8"/>
  <c r="O95" i="8"/>
  <c r="N95" i="8"/>
  <c r="M95" i="8"/>
  <c r="L95" i="8"/>
  <c r="K95" i="8"/>
  <c r="J95" i="8"/>
  <c r="I95" i="8"/>
  <c r="H95" i="8"/>
  <c r="G95" i="8"/>
  <c r="F95" i="8"/>
  <c r="A95" i="8"/>
  <c r="Q94" i="8"/>
  <c r="P94" i="8"/>
  <c r="O94" i="8"/>
  <c r="N94" i="8"/>
  <c r="M94" i="8"/>
  <c r="L94" i="8"/>
  <c r="K94" i="8"/>
  <c r="J94" i="8"/>
  <c r="I94" i="8"/>
  <c r="H94" i="8"/>
  <c r="G94" i="8"/>
  <c r="F94" i="8"/>
  <c r="B94" i="8"/>
  <c r="A94" i="8"/>
  <c r="Q93" i="8"/>
  <c r="P93" i="8"/>
  <c r="O93" i="8"/>
  <c r="N93" i="8"/>
  <c r="M93" i="8"/>
  <c r="L93" i="8"/>
  <c r="K93" i="8"/>
  <c r="J93" i="8"/>
  <c r="I93" i="8"/>
  <c r="H93" i="8"/>
  <c r="G93" i="8"/>
  <c r="F93" i="8"/>
  <c r="B93" i="8"/>
  <c r="A93" i="8"/>
  <c r="Q92" i="8"/>
  <c r="P92" i="8"/>
  <c r="O92" i="8"/>
  <c r="N92" i="8"/>
  <c r="M92" i="8"/>
  <c r="L92" i="8"/>
  <c r="K92" i="8"/>
  <c r="J92" i="8"/>
  <c r="I92" i="8"/>
  <c r="H92" i="8"/>
  <c r="G92" i="8"/>
  <c r="F92" i="8"/>
  <c r="B92" i="8"/>
  <c r="A92" i="8"/>
  <c r="Q91" i="8"/>
  <c r="P91" i="8"/>
  <c r="O91" i="8"/>
  <c r="N91" i="8"/>
  <c r="M91" i="8"/>
  <c r="L91" i="8"/>
  <c r="K91" i="8"/>
  <c r="J91" i="8"/>
  <c r="I91" i="8"/>
  <c r="H91" i="8"/>
  <c r="G91" i="8"/>
  <c r="F91" i="8"/>
  <c r="B91" i="8"/>
  <c r="A91" i="8"/>
  <c r="Q90" i="8"/>
  <c r="P90" i="8"/>
  <c r="O90" i="8"/>
  <c r="N90" i="8"/>
  <c r="M90" i="8"/>
  <c r="L90" i="8"/>
  <c r="K90" i="8"/>
  <c r="J90" i="8"/>
  <c r="I90" i="8"/>
  <c r="H90" i="8"/>
  <c r="G90" i="8"/>
  <c r="F90" i="8"/>
  <c r="B90" i="8"/>
  <c r="A90" i="8"/>
  <c r="Q89" i="8"/>
  <c r="P89" i="8"/>
  <c r="O89" i="8"/>
  <c r="N89" i="8"/>
  <c r="M89" i="8"/>
  <c r="L89" i="8"/>
  <c r="K89" i="8"/>
  <c r="J89" i="8"/>
  <c r="I89" i="8"/>
  <c r="H89" i="8"/>
  <c r="G89" i="8"/>
  <c r="F89" i="8"/>
  <c r="B89" i="8"/>
  <c r="A89" i="8"/>
  <c r="Q88" i="8"/>
  <c r="P88" i="8"/>
  <c r="O88" i="8"/>
  <c r="N88" i="8"/>
  <c r="M88" i="8"/>
  <c r="L88" i="8"/>
  <c r="K88" i="8"/>
  <c r="J88" i="8"/>
  <c r="I88" i="8"/>
  <c r="H88" i="8"/>
  <c r="G88" i="8"/>
  <c r="F88" i="8"/>
  <c r="B88" i="8"/>
  <c r="A88" i="8"/>
  <c r="Q87" i="8"/>
  <c r="P87" i="8"/>
  <c r="O87" i="8"/>
  <c r="N87" i="8"/>
  <c r="M87" i="8"/>
  <c r="L87" i="8"/>
  <c r="K87" i="8"/>
  <c r="J87" i="8"/>
  <c r="I87" i="8"/>
  <c r="H87" i="8"/>
  <c r="G87" i="8"/>
  <c r="F87" i="8"/>
  <c r="B87" i="8"/>
  <c r="A87" i="8"/>
  <c r="Q86" i="8"/>
  <c r="P86" i="8"/>
  <c r="O86" i="8"/>
  <c r="N86" i="8"/>
  <c r="M86" i="8"/>
  <c r="L86" i="8"/>
  <c r="K86" i="8"/>
  <c r="J86" i="8"/>
  <c r="I86" i="8"/>
  <c r="H86" i="8"/>
  <c r="G86" i="8"/>
  <c r="F86" i="8"/>
  <c r="B86" i="8"/>
  <c r="A86" i="8"/>
  <c r="Q85" i="8"/>
  <c r="P85" i="8"/>
  <c r="O85" i="8"/>
  <c r="N85" i="8"/>
  <c r="M85" i="8"/>
  <c r="L85" i="8"/>
  <c r="K85" i="8"/>
  <c r="J85" i="8"/>
  <c r="I85" i="8"/>
  <c r="H85" i="8"/>
  <c r="G85" i="8"/>
  <c r="F85" i="8"/>
  <c r="B85" i="8"/>
  <c r="A85" i="8"/>
  <c r="Q84" i="8"/>
  <c r="P84" i="8"/>
  <c r="O84" i="8"/>
  <c r="N84" i="8"/>
  <c r="M84" i="8"/>
  <c r="L84" i="8"/>
  <c r="K84" i="8"/>
  <c r="J84" i="8"/>
  <c r="I84" i="8"/>
  <c r="H84" i="8"/>
  <c r="G84" i="8"/>
  <c r="F84" i="8"/>
  <c r="B84" i="8"/>
  <c r="A84" i="8"/>
  <c r="Q83" i="8"/>
  <c r="P83" i="8"/>
  <c r="O83" i="8"/>
  <c r="N83" i="8"/>
  <c r="M83" i="8"/>
  <c r="L83" i="8"/>
  <c r="K83" i="8"/>
  <c r="J83" i="8"/>
  <c r="I83" i="8"/>
  <c r="H83" i="8"/>
  <c r="G83" i="8"/>
  <c r="F83" i="8"/>
  <c r="B83" i="8"/>
  <c r="A83" i="8"/>
  <c r="Q82" i="8"/>
  <c r="P82" i="8"/>
  <c r="O82" i="8"/>
  <c r="N82" i="8"/>
  <c r="M82" i="8"/>
  <c r="L82" i="8"/>
  <c r="K82" i="8"/>
  <c r="J82" i="8"/>
  <c r="I82" i="8"/>
  <c r="H82" i="8"/>
  <c r="G82" i="8"/>
  <c r="F82" i="8"/>
  <c r="B82" i="8"/>
  <c r="A82" i="8"/>
  <c r="Q81" i="8"/>
  <c r="P81" i="8"/>
  <c r="O81" i="8"/>
  <c r="N81" i="8"/>
  <c r="M81" i="8"/>
  <c r="L81" i="8"/>
  <c r="K81" i="8"/>
  <c r="J81" i="8"/>
  <c r="I81" i="8"/>
  <c r="H81" i="8"/>
  <c r="G81" i="8"/>
  <c r="F81" i="8"/>
  <c r="B81" i="8"/>
  <c r="A81" i="8"/>
  <c r="Q80" i="8"/>
  <c r="P80" i="8"/>
  <c r="O80" i="8"/>
  <c r="N80" i="8"/>
  <c r="M80" i="8"/>
  <c r="L80" i="8"/>
  <c r="K80" i="8"/>
  <c r="J80" i="8"/>
  <c r="I80" i="8"/>
  <c r="H80" i="8"/>
  <c r="G80" i="8"/>
  <c r="F80" i="8"/>
  <c r="B80" i="8"/>
  <c r="A80" i="8"/>
  <c r="Q79" i="8"/>
  <c r="P79" i="8"/>
  <c r="O79" i="8"/>
  <c r="N79" i="8"/>
  <c r="M79" i="8"/>
  <c r="L79" i="8"/>
  <c r="K79" i="8"/>
  <c r="J79" i="8"/>
  <c r="I79" i="8"/>
  <c r="H79" i="8"/>
  <c r="G79" i="8"/>
  <c r="F79" i="8"/>
  <c r="B79" i="8"/>
  <c r="A79" i="8"/>
  <c r="Q78" i="8"/>
  <c r="P78" i="8"/>
  <c r="O78" i="8"/>
  <c r="N78" i="8"/>
  <c r="M78" i="8"/>
  <c r="L78" i="8"/>
  <c r="K78" i="8"/>
  <c r="J78" i="8"/>
  <c r="I78" i="8"/>
  <c r="H78" i="8"/>
  <c r="G78" i="8"/>
  <c r="F78" i="8"/>
  <c r="B78" i="8"/>
  <c r="A78" i="8"/>
  <c r="Q77" i="8"/>
  <c r="P77" i="8"/>
  <c r="O77" i="8"/>
  <c r="N77" i="8"/>
  <c r="M77" i="8"/>
  <c r="L77" i="8"/>
  <c r="K77" i="8"/>
  <c r="J77" i="8"/>
  <c r="I77" i="8"/>
  <c r="H77" i="8"/>
  <c r="G77" i="8"/>
  <c r="F77" i="8"/>
  <c r="B77" i="8"/>
  <c r="A77" i="8"/>
  <c r="Q76" i="8"/>
  <c r="P76" i="8"/>
  <c r="O76" i="8"/>
  <c r="N76" i="8"/>
  <c r="M76" i="8"/>
  <c r="L76" i="8"/>
  <c r="K76" i="8"/>
  <c r="J76" i="8"/>
  <c r="I76" i="8"/>
  <c r="H76" i="8"/>
  <c r="G76" i="8"/>
  <c r="F76" i="8"/>
  <c r="B76" i="8"/>
  <c r="A76" i="8"/>
  <c r="Q75" i="8"/>
  <c r="P75" i="8"/>
  <c r="O75" i="8"/>
  <c r="N75" i="8"/>
  <c r="M75" i="8"/>
  <c r="L75" i="8"/>
  <c r="K75" i="8"/>
  <c r="J75" i="8"/>
  <c r="I75" i="8"/>
  <c r="H75" i="8"/>
  <c r="G75" i="8"/>
  <c r="F75" i="8"/>
  <c r="B75" i="8"/>
  <c r="A75" i="8"/>
  <c r="Q74" i="8"/>
  <c r="P74" i="8"/>
  <c r="O74" i="8"/>
  <c r="N74" i="8"/>
  <c r="M74" i="8"/>
  <c r="L74" i="8"/>
  <c r="K74" i="8"/>
  <c r="J74" i="8"/>
  <c r="I74" i="8"/>
  <c r="H74" i="8"/>
  <c r="G74" i="8"/>
  <c r="F74" i="8"/>
  <c r="A74" i="8"/>
  <c r="Q73" i="8"/>
  <c r="P73" i="8"/>
  <c r="O73" i="8"/>
  <c r="N73" i="8"/>
  <c r="M73" i="8"/>
  <c r="L73" i="8"/>
  <c r="K73" i="8"/>
  <c r="J73" i="8"/>
  <c r="I73" i="8"/>
  <c r="H73" i="8"/>
  <c r="G73" i="8"/>
  <c r="F73" i="8"/>
  <c r="A73" i="8"/>
  <c r="Q72" i="8"/>
  <c r="P72" i="8"/>
  <c r="O72" i="8"/>
  <c r="N72" i="8"/>
  <c r="M72" i="8"/>
  <c r="L72" i="8"/>
  <c r="K72" i="8"/>
  <c r="J72" i="8"/>
  <c r="I72" i="8"/>
  <c r="H72" i="8"/>
  <c r="G72" i="8"/>
  <c r="F72" i="8"/>
  <c r="A72" i="8"/>
  <c r="Q71" i="8"/>
  <c r="P71" i="8"/>
  <c r="O71" i="8"/>
  <c r="N71" i="8"/>
  <c r="M71" i="8"/>
  <c r="L71" i="8"/>
  <c r="K71" i="8"/>
  <c r="J71" i="8"/>
  <c r="I71" i="8"/>
  <c r="H71" i="8"/>
  <c r="G71" i="8"/>
  <c r="F71" i="8"/>
  <c r="A71" i="8"/>
  <c r="Q70" i="8"/>
  <c r="P70" i="8"/>
  <c r="O70" i="8"/>
  <c r="N70" i="8"/>
  <c r="M70" i="8"/>
  <c r="L70" i="8"/>
  <c r="K70" i="8"/>
  <c r="J70" i="8"/>
  <c r="I70" i="8"/>
  <c r="H70" i="8"/>
  <c r="G70" i="8"/>
  <c r="F70" i="8"/>
  <c r="B70" i="8"/>
  <c r="A70" i="8"/>
  <c r="Q69" i="8"/>
  <c r="P69" i="8"/>
  <c r="O69" i="8"/>
  <c r="N69" i="8"/>
  <c r="M69" i="8"/>
  <c r="L69" i="8"/>
  <c r="K69" i="8"/>
  <c r="J69" i="8"/>
  <c r="I69" i="8"/>
  <c r="H69" i="8"/>
  <c r="G69" i="8"/>
  <c r="F69" i="8"/>
  <c r="B69" i="8"/>
  <c r="A69" i="8"/>
  <c r="Q68" i="8"/>
  <c r="P68" i="8"/>
  <c r="O68" i="8"/>
  <c r="N68" i="8"/>
  <c r="M68" i="8"/>
  <c r="L68" i="8"/>
  <c r="K68" i="8"/>
  <c r="J68" i="8"/>
  <c r="I68" i="8"/>
  <c r="H68" i="8"/>
  <c r="G68" i="8"/>
  <c r="F68" i="8"/>
  <c r="B68" i="8"/>
  <c r="A68" i="8"/>
  <c r="Q67" i="8"/>
  <c r="P67" i="8"/>
  <c r="O67" i="8"/>
  <c r="N67" i="8"/>
  <c r="M67" i="8"/>
  <c r="L67" i="8"/>
  <c r="K67" i="8"/>
  <c r="J67" i="8"/>
  <c r="I67" i="8"/>
  <c r="H67" i="8"/>
  <c r="G67" i="8"/>
  <c r="F67" i="8"/>
  <c r="B67" i="8"/>
  <c r="A67" i="8"/>
  <c r="Q66" i="8"/>
  <c r="P66" i="8"/>
  <c r="O66" i="8"/>
  <c r="N66" i="8"/>
  <c r="M66" i="8"/>
  <c r="L66" i="8"/>
  <c r="K66" i="8"/>
  <c r="J66" i="8"/>
  <c r="I66" i="8"/>
  <c r="H66" i="8"/>
  <c r="G66" i="8"/>
  <c r="F66" i="8"/>
  <c r="B66" i="8"/>
  <c r="A66" i="8"/>
  <c r="Q65" i="8"/>
  <c r="P65" i="8"/>
  <c r="O65" i="8"/>
  <c r="N65" i="8"/>
  <c r="M65" i="8"/>
  <c r="L65" i="8"/>
  <c r="K65" i="8"/>
  <c r="J65" i="8"/>
  <c r="I65" i="8"/>
  <c r="H65" i="8"/>
  <c r="G65" i="8"/>
  <c r="F65" i="8"/>
  <c r="B65" i="8"/>
  <c r="A65" i="8"/>
  <c r="Q64" i="8"/>
  <c r="P64" i="8"/>
  <c r="O64" i="8"/>
  <c r="N64" i="8"/>
  <c r="M64" i="8"/>
  <c r="L64" i="8"/>
  <c r="K64" i="8"/>
  <c r="J64" i="8"/>
  <c r="I64" i="8"/>
  <c r="H64" i="8"/>
  <c r="G64" i="8"/>
  <c r="F64" i="8"/>
  <c r="B64" i="8"/>
  <c r="A64" i="8"/>
  <c r="Q63" i="8"/>
  <c r="P63" i="8"/>
  <c r="O63" i="8"/>
  <c r="N63" i="8"/>
  <c r="M63" i="8"/>
  <c r="L63" i="8"/>
  <c r="K63" i="8"/>
  <c r="J63" i="8"/>
  <c r="I63" i="8"/>
  <c r="H63" i="8"/>
  <c r="G63" i="8"/>
  <c r="F63" i="8"/>
  <c r="B63" i="8"/>
  <c r="A63" i="8"/>
  <c r="Q62" i="8"/>
  <c r="P62" i="8"/>
  <c r="O62" i="8"/>
  <c r="N62" i="8"/>
  <c r="M62" i="8"/>
  <c r="L62" i="8"/>
  <c r="K62" i="8"/>
  <c r="J62" i="8"/>
  <c r="I62" i="8"/>
  <c r="H62" i="8"/>
  <c r="G62" i="8"/>
  <c r="F62" i="8"/>
  <c r="B62" i="8"/>
  <c r="A62" i="8"/>
  <c r="Q61" i="8"/>
  <c r="P61" i="8"/>
  <c r="O61" i="8"/>
  <c r="N61" i="8"/>
  <c r="M61" i="8"/>
  <c r="L61" i="8"/>
  <c r="K61" i="8"/>
  <c r="J61" i="8"/>
  <c r="I61" i="8"/>
  <c r="H61" i="8"/>
  <c r="G61" i="8"/>
  <c r="F61" i="8"/>
  <c r="B61" i="8"/>
  <c r="A61" i="8"/>
  <c r="Q60" i="8"/>
  <c r="P60" i="8"/>
  <c r="O60" i="8"/>
  <c r="N60" i="8"/>
  <c r="M60" i="8"/>
  <c r="L60" i="8"/>
  <c r="K60" i="8"/>
  <c r="J60" i="8"/>
  <c r="I60" i="8"/>
  <c r="H60" i="8"/>
  <c r="G60" i="8"/>
  <c r="F60" i="8"/>
  <c r="B60" i="8"/>
  <c r="A60" i="8"/>
  <c r="Q59" i="8"/>
  <c r="P59" i="8"/>
  <c r="O59" i="8"/>
  <c r="N59" i="8"/>
  <c r="M59" i="8"/>
  <c r="L59" i="8"/>
  <c r="K59" i="8"/>
  <c r="J59" i="8"/>
  <c r="I59" i="8"/>
  <c r="H59" i="8"/>
  <c r="G59" i="8"/>
  <c r="F59" i="8"/>
  <c r="B59" i="8"/>
  <c r="A59" i="8"/>
  <c r="Q58" i="8"/>
  <c r="P58" i="8"/>
  <c r="O58" i="8"/>
  <c r="N58" i="8"/>
  <c r="M58" i="8"/>
  <c r="L58" i="8"/>
  <c r="K58" i="8"/>
  <c r="J58" i="8"/>
  <c r="I58" i="8"/>
  <c r="H58" i="8"/>
  <c r="G58" i="8"/>
  <c r="F58" i="8"/>
  <c r="B58" i="8"/>
  <c r="A58" i="8"/>
  <c r="Q57" i="8"/>
  <c r="P57" i="8"/>
  <c r="O57" i="8"/>
  <c r="N57" i="8"/>
  <c r="M57" i="8"/>
  <c r="L57" i="8"/>
  <c r="K57" i="8"/>
  <c r="J57" i="8"/>
  <c r="I57" i="8"/>
  <c r="H57" i="8"/>
  <c r="G57" i="8"/>
  <c r="F57" i="8"/>
  <c r="B57" i="8"/>
  <c r="A57" i="8"/>
  <c r="Q56" i="8"/>
  <c r="P56" i="8"/>
  <c r="O56" i="8"/>
  <c r="N56" i="8"/>
  <c r="M56" i="8"/>
  <c r="L56" i="8"/>
  <c r="K56" i="8"/>
  <c r="J56" i="8"/>
  <c r="I56" i="8"/>
  <c r="H56" i="8"/>
  <c r="G56" i="8"/>
  <c r="F56" i="8"/>
  <c r="B56" i="8"/>
  <c r="A56" i="8"/>
  <c r="Q55" i="8"/>
  <c r="P55" i="8"/>
  <c r="O55" i="8"/>
  <c r="N55" i="8"/>
  <c r="M55" i="8"/>
  <c r="L55" i="8"/>
  <c r="K55" i="8"/>
  <c r="J55" i="8"/>
  <c r="I55" i="8"/>
  <c r="H55" i="8"/>
  <c r="G55" i="8"/>
  <c r="F55" i="8"/>
  <c r="B55" i="8"/>
  <c r="A55" i="8"/>
  <c r="Q54" i="8"/>
  <c r="P54" i="8"/>
  <c r="O54" i="8"/>
  <c r="N54" i="8"/>
  <c r="M54" i="8"/>
  <c r="L54" i="8"/>
  <c r="K54" i="8"/>
  <c r="J54" i="8"/>
  <c r="I54" i="8"/>
  <c r="H54" i="8"/>
  <c r="G54" i="8"/>
  <c r="F54" i="8"/>
  <c r="B54" i="8"/>
  <c r="A54" i="8"/>
  <c r="Q53" i="8"/>
  <c r="P53" i="8"/>
  <c r="O53" i="8"/>
  <c r="N53" i="8"/>
  <c r="M53" i="8"/>
  <c r="L53" i="8"/>
  <c r="K53" i="8"/>
  <c r="J53" i="8"/>
  <c r="I53" i="8"/>
  <c r="H53" i="8"/>
  <c r="G53" i="8"/>
  <c r="F53" i="8"/>
  <c r="B53" i="8"/>
  <c r="A53" i="8"/>
  <c r="Q52" i="8"/>
  <c r="P52" i="8"/>
  <c r="O52" i="8"/>
  <c r="N52" i="8"/>
  <c r="M52" i="8"/>
  <c r="L52" i="8"/>
  <c r="K52" i="8"/>
  <c r="J52" i="8"/>
  <c r="I52" i="8"/>
  <c r="H52" i="8"/>
  <c r="G52" i="8"/>
  <c r="F52" i="8"/>
  <c r="B52" i="8"/>
  <c r="A52" i="8"/>
  <c r="Q51" i="8"/>
  <c r="P51" i="8"/>
  <c r="O51" i="8"/>
  <c r="N51" i="8"/>
  <c r="M51" i="8"/>
  <c r="L51" i="8"/>
  <c r="K51" i="8"/>
  <c r="J51" i="8"/>
  <c r="I51" i="8"/>
  <c r="H51" i="8"/>
  <c r="G51" i="8"/>
  <c r="F51" i="8"/>
  <c r="B51" i="8"/>
  <c r="Q50" i="8"/>
  <c r="P50" i="8"/>
  <c r="O50" i="8"/>
  <c r="N50" i="8"/>
  <c r="M50" i="8"/>
  <c r="L50" i="8"/>
  <c r="K50" i="8"/>
  <c r="J50" i="8"/>
  <c r="I50" i="8"/>
  <c r="H50" i="8"/>
  <c r="G50" i="8"/>
  <c r="F50" i="8"/>
  <c r="A50" i="8"/>
  <c r="Q49" i="8"/>
  <c r="P49" i="8"/>
  <c r="O49" i="8"/>
  <c r="N49" i="8"/>
  <c r="M49" i="8"/>
  <c r="L49" i="8"/>
  <c r="K49" i="8"/>
  <c r="J49" i="8"/>
  <c r="I49" i="8"/>
  <c r="H49" i="8"/>
  <c r="G49" i="8"/>
  <c r="F49" i="8"/>
  <c r="A49" i="8"/>
  <c r="Q48" i="8"/>
  <c r="P48" i="8"/>
  <c r="O48" i="8"/>
  <c r="N48" i="8"/>
  <c r="M48" i="8"/>
  <c r="L48" i="8"/>
  <c r="K48" i="8"/>
  <c r="J48" i="8"/>
  <c r="I48" i="8"/>
  <c r="H48" i="8"/>
  <c r="G48" i="8"/>
  <c r="F48" i="8"/>
  <c r="A48" i="8"/>
  <c r="Q47" i="8"/>
  <c r="P47" i="8"/>
  <c r="O47" i="8"/>
  <c r="N47" i="8"/>
  <c r="M47" i="8"/>
  <c r="L47" i="8"/>
  <c r="K47" i="8"/>
  <c r="J47" i="8"/>
  <c r="I47" i="8"/>
  <c r="H47" i="8"/>
  <c r="G47" i="8"/>
  <c r="F47" i="8"/>
  <c r="A47" i="8"/>
  <c r="Q46" i="8"/>
  <c r="P46" i="8"/>
  <c r="O46" i="8"/>
  <c r="N46" i="8"/>
  <c r="M46" i="8"/>
  <c r="L46" i="8"/>
  <c r="K46" i="8"/>
  <c r="J46" i="8"/>
  <c r="I46" i="8"/>
  <c r="H46" i="8"/>
  <c r="G46" i="8"/>
  <c r="F46" i="8"/>
  <c r="B46" i="8"/>
  <c r="A46" i="8"/>
  <c r="Q45" i="8"/>
  <c r="P45" i="8"/>
  <c r="O45" i="8"/>
  <c r="N45" i="8"/>
  <c r="M45" i="8"/>
  <c r="L45" i="8"/>
  <c r="K45" i="8"/>
  <c r="J45" i="8"/>
  <c r="I45" i="8"/>
  <c r="H45" i="8"/>
  <c r="G45" i="8"/>
  <c r="F45" i="8"/>
  <c r="B45" i="8"/>
  <c r="A45" i="8"/>
  <c r="Q44" i="8"/>
  <c r="P44" i="8"/>
  <c r="O44" i="8"/>
  <c r="N44" i="8"/>
  <c r="M44" i="8"/>
  <c r="L44" i="8"/>
  <c r="K44" i="8"/>
  <c r="J44" i="8"/>
  <c r="I44" i="8"/>
  <c r="H44" i="8"/>
  <c r="G44" i="8"/>
  <c r="F44" i="8"/>
  <c r="B44" i="8"/>
  <c r="A44" i="8"/>
  <c r="Q43" i="8"/>
  <c r="P43" i="8"/>
  <c r="O43" i="8"/>
  <c r="N43" i="8"/>
  <c r="M43" i="8"/>
  <c r="L43" i="8"/>
  <c r="K43" i="8"/>
  <c r="J43" i="8"/>
  <c r="I43" i="8"/>
  <c r="H43" i="8"/>
  <c r="G43" i="8"/>
  <c r="F43" i="8"/>
  <c r="B43" i="8"/>
  <c r="A43" i="8"/>
  <c r="Q42" i="8"/>
  <c r="P42" i="8"/>
  <c r="O42" i="8"/>
  <c r="N42" i="8"/>
  <c r="M42" i="8"/>
  <c r="L42" i="8"/>
  <c r="K42" i="8"/>
  <c r="J42" i="8"/>
  <c r="I42" i="8"/>
  <c r="H42" i="8"/>
  <c r="G42" i="8"/>
  <c r="F42" i="8"/>
  <c r="B42" i="8"/>
  <c r="A42" i="8"/>
  <c r="Q41" i="8"/>
  <c r="P41" i="8"/>
  <c r="O41" i="8"/>
  <c r="N41" i="8"/>
  <c r="M41" i="8"/>
  <c r="L41" i="8"/>
  <c r="K41" i="8"/>
  <c r="J41" i="8"/>
  <c r="I41" i="8"/>
  <c r="H41" i="8"/>
  <c r="G41" i="8"/>
  <c r="F41" i="8"/>
  <c r="B41" i="8"/>
  <c r="A41" i="8"/>
  <c r="Q40" i="8"/>
  <c r="P40" i="8"/>
  <c r="O40" i="8"/>
  <c r="N40" i="8"/>
  <c r="M40" i="8"/>
  <c r="L40" i="8"/>
  <c r="K40" i="8"/>
  <c r="J40" i="8"/>
  <c r="I40" i="8"/>
  <c r="H40" i="8"/>
  <c r="G40" i="8"/>
  <c r="F40" i="8"/>
  <c r="B40" i="8"/>
  <c r="A40" i="8"/>
  <c r="Q39" i="8"/>
  <c r="P39" i="8"/>
  <c r="O39" i="8"/>
  <c r="N39" i="8"/>
  <c r="M39" i="8"/>
  <c r="L39" i="8"/>
  <c r="K39" i="8"/>
  <c r="J39" i="8"/>
  <c r="I39" i="8"/>
  <c r="H39" i="8"/>
  <c r="G39" i="8"/>
  <c r="F39" i="8"/>
  <c r="B39" i="8"/>
  <c r="A39" i="8"/>
  <c r="Q38" i="8"/>
  <c r="P38" i="8"/>
  <c r="O38" i="8"/>
  <c r="N38" i="8"/>
  <c r="M38" i="8"/>
  <c r="L38" i="8"/>
  <c r="K38" i="8"/>
  <c r="J38" i="8"/>
  <c r="I38" i="8"/>
  <c r="H38" i="8"/>
  <c r="G38" i="8"/>
  <c r="F38" i="8"/>
  <c r="B38" i="8"/>
  <c r="A38" i="8"/>
  <c r="Q37" i="8"/>
  <c r="P37" i="8"/>
  <c r="O37" i="8"/>
  <c r="N37" i="8"/>
  <c r="M37" i="8"/>
  <c r="L37" i="8"/>
  <c r="K37" i="8"/>
  <c r="J37" i="8"/>
  <c r="I37" i="8"/>
  <c r="H37" i="8"/>
  <c r="G37" i="8"/>
  <c r="F37" i="8"/>
  <c r="B37" i="8"/>
  <c r="A37" i="8"/>
  <c r="Q36" i="8"/>
  <c r="P36" i="8"/>
  <c r="O36" i="8"/>
  <c r="N36" i="8"/>
  <c r="M36" i="8"/>
  <c r="L36" i="8"/>
  <c r="K36" i="8"/>
  <c r="J36" i="8"/>
  <c r="I36" i="8"/>
  <c r="H36" i="8"/>
  <c r="G36" i="8"/>
  <c r="F36" i="8"/>
  <c r="B36" i="8"/>
  <c r="A36" i="8"/>
  <c r="Q35" i="8"/>
  <c r="P35" i="8"/>
  <c r="O35" i="8"/>
  <c r="N35" i="8"/>
  <c r="M35" i="8"/>
  <c r="L35" i="8"/>
  <c r="K35" i="8"/>
  <c r="J35" i="8"/>
  <c r="I35" i="8"/>
  <c r="H35" i="8"/>
  <c r="G35" i="8"/>
  <c r="F35" i="8"/>
  <c r="B35" i="8"/>
  <c r="A35" i="8"/>
  <c r="Q34" i="8"/>
  <c r="P34" i="8"/>
  <c r="O34" i="8"/>
  <c r="N34" i="8"/>
  <c r="M34" i="8"/>
  <c r="L34" i="8"/>
  <c r="K34" i="8"/>
  <c r="J34" i="8"/>
  <c r="I34" i="8"/>
  <c r="H34" i="8"/>
  <c r="G34" i="8"/>
  <c r="F34" i="8"/>
  <c r="B34" i="8"/>
  <c r="A34" i="8"/>
  <c r="Q33" i="8"/>
  <c r="P33" i="8"/>
  <c r="O33" i="8"/>
  <c r="N33" i="8"/>
  <c r="M33" i="8"/>
  <c r="L33" i="8"/>
  <c r="K33" i="8"/>
  <c r="J33" i="8"/>
  <c r="I33" i="8"/>
  <c r="H33" i="8"/>
  <c r="G33" i="8"/>
  <c r="F33" i="8"/>
  <c r="B33" i="8"/>
  <c r="A33" i="8"/>
  <c r="Q32" i="8"/>
  <c r="P32" i="8"/>
  <c r="O32" i="8"/>
  <c r="N32" i="8"/>
  <c r="M32" i="8"/>
  <c r="L32" i="8"/>
  <c r="K32" i="8"/>
  <c r="J32" i="8"/>
  <c r="I32" i="8"/>
  <c r="H32" i="8"/>
  <c r="G32" i="8"/>
  <c r="F32" i="8"/>
  <c r="B32" i="8"/>
  <c r="A32" i="8"/>
  <c r="Q31" i="8"/>
  <c r="P31" i="8"/>
  <c r="O31" i="8"/>
  <c r="N31" i="8"/>
  <c r="M31" i="8"/>
  <c r="L31" i="8"/>
  <c r="K31" i="8"/>
  <c r="J31" i="8"/>
  <c r="I31" i="8"/>
  <c r="H31" i="8"/>
  <c r="G31" i="8"/>
  <c r="F31" i="8"/>
  <c r="B31" i="8"/>
  <c r="A31" i="8"/>
  <c r="Q30" i="8"/>
  <c r="P30" i="8"/>
  <c r="O30" i="8"/>
  <c r="N30" i="8"/>
  <c r="M30" i="8"/>
  <c r="L30" i="8"/>
  <c r="K30" i="8"/>
  <c r="J30" i="8"/>
  <c r="I30" i="8"/>
  <c r="H30" i="8"/>
  <c r="G30" i="8"/>
  <c r="F30" i="8"/>
  <c r="B30" i="8"/>
  <c r="A30" i="8"/>
  <c r="Q29" i="8"/>
  <c r="P29" i="8"/>
  <c r="O29" i="8"/>
  <c r="N29" i="8"/>
  <c r="M29" i="8"/>
  <c r="L29" i="8"/>
  <c r="K29" i="8"/>
  <c r="J29" i="8"/>
  <c r="I29" i="8"/>
  <c r="H29" i="8"/>
  <c r="G29" i="8"/>
  <c r="F29" i="8"/>
  <c r="B29" i="8"/>
  <c r="A29" i="8"/>
  <c r="Q28" i="8"/>
  <c r="P28" i="8"/>
  <c r="O28" i="8"/>
  <c r="N28" i="8"/>
  <c r="M28" i="8"/>
  <c r="L28" i="8"/>
  <c r="K28" i="8"/>
  <c r="J28" i="8"/>
  <c r="I28" i="8"/>
  <c r="H28" i="8"/>
  <c r="G28" i="8"/>
  <c r="F28" i="8"/>
  <c r="B28" i="8"/>
  <c r="A28" i="8"/>
  <c r="Q27" i="8"/>
  <c r="P27" i="8"/>
  <c r="O27" i="8"/>
  <c r="N27" i="8"/>
  <c r="M27" i="8"/>
  <c r="L27" i="8"/>
  <c r="K27" i="8"/>
  <c r="J27" i="8"/>
  <c r="I27" i="8"/>
  <c r="H27" i="8"/>
  <c r="G27" i="8"/>
  <c r="F27" i="8"/>
  <c r="B27" i="8"/>
  <c r="A27" i="8"/>
  <c r="Q26" i="8"/>
  <c r="P26" i="8"/>
  <c r="O26" i="8"/>
  <c r="N26" i="8"/>
  <c r="M26" i="8"/>
  <c r="L26" i="8"/>
  <c r="K26" i="8"/>
  <c r="J26" i="8"/>
  <c r="I26" i="8"/>
  <c r="H26" i="8"/>
  <c r="G26" i="8"/>
  <c r="F26" i="8"/>
  <c r="A26" i="8"/>
  <c r="Q25" i="8"/>
  <c r="P25" i="8"/>
  <c r="O25" i="8"/>
  <c r="N25" i="8"/>
  <c r="M25" i="8"/>
  <c r="L25" i="8"/>
  <c r="K25" i="8"/>
  <c r="J25" i="8"/>
  <c r="I25" i="8"/>
  <c r="H25" i="8"/>
  <c r="G25" i="8"/>
  <c r="F25" i="8"/>
  <c r="A25" i="8"/>
  <c r="Q24" i="8"/>
  <c r="P24" i="8"/>
  <c r="O24" i="8"/>
  <c r="N24" i="8"/>
  <c r="M24" i="8"/>
  <c r="L24" i="8"/>
  <c r="K24" i="8"/>
  <c r="J24" i="8"/>
  <c r="I24" i="8"/>
  <c r="H24" i="8"/>
  <c r="G24" i="8"/>
  <c r="F24" i="8"/>
  <c r="A24" i="8"/>
  <c r="Q23" i="8"/>
  <c r="P23" i="8"/>
  <c r="O23" i="8"/>
  <c r="N23" i="8"/>
  <c r="M23" i="8"/>
  <c r="L23" i="8"/>
  <c r="K23" i="8"/>
  <c r="J23" i="8"/>
  <c r="I23" i="8"/>
  <c r="H23" i="8"/>
  <c r="G23" i="8"/>
  <c r="F23" i="8"/>
  <c r="A23" i="8"/>
  <c r="Q22" i="8"/>
  <c r="P22" i="8"/>
  <c r="O22" i="8"/>
  <c r="N22" i="8"/>
  <c r="M22" i="8"/>
  <c r="L22" i="8"/>
  <c r="K22" i="8"/>
  <c r="J22" i="8"/>
  <c r="I22" i="8"/>
  <c r="H22" i="8"/>
  <c r="G22" i="8"/>
  <c r="F22" i="8"/>
  <c r="B22" i="8"/>
  <c r="A22" i="8"/>
  <c r="Q21" i="8"/>
  <c r="P21" i="8"/>
  <c r="O21" i="8"/>
  <c r="N21" i="8"/>
  <c r="M21" i="8"/>
  <c r="L21" i="8"/>
  <c r="K21" i="8"/>
  <c r="J21" i="8"/>
  <c r="I21" i="8"/>
  <c r="H21" i="8"/>
  <c r="G21" i="8"/>
  <c r="F21" i="8"/>
  <c r="B21" i="8"/>
  <c r="A21" i="8"/>
  <c r="Q20" i="8"/>
  <c r="P20" i="8"/>
  <c r="O20" i="8"/>
  <c r="N20" i="8"/>
  <c r="M20" i="8"/>
  <c r="L20" i="8"/>
  <c r="K20" i="8"/>
  <c r="J20" i="8"/>
  <c r="I20" i="8"/>
  <c r="H20" i="8"/>
  <c r="G20" i="8"/>
  <c r="F20" i="8"/>
  <c r="B20" i="8"/>
  <c r="A20" i="8"/>
  <c r="Q19" i="8"/>
  <c r="P19" i="8"/>
  <c r="O19" i="8"/>
  <c r="N19" i="8"/>
  <c r="M19" i="8"/>
  <c r="L19" i="8"/>
  <c r="K19" i="8"/>
  <c r="J19" i="8"/>
  <c r="I19" i="8"/>
  <c r="H19" i="8"/>
  <c r="G19" i="8"/>
  <c r="F19" i="8"/>
  <c r="B19" i="8"/>
  <c r="A19" i="8"/>
  <c r="Q18" i="8"/>
  <c r="P18" i="8"/>
  <c r="O18" i="8"/>
  <c r="N18" i="8"/>
  <c r="M18" i="8"/>
  <c r="L18" i="8"/>
  <c r="K18" i="8"/>
  <c r="J18" i="8"/>
  <c r="I18" i="8"/>
  <c r="H18" i="8"/>
  <c r="G18" i="8"/>
  <c r="F18" i="8"/>
  <c r="B18" i="8"/>
  <c r="A18" i="8"/>
  <c r="Q17" i="8"/>
  <c r="P17" i="8"/>
  <c r="O17" i="8"/>
  <c r="N17" i="8"/>
  <c r="M17" i="8"/>
  <c r="L17" i="8"/>
  <c r="K17" i="8"/>
  <c r="J17" i="8"/>
  <c r="I17" i="8"/>
  <c r="H17" i="8"/>
  <c r="G17" i="8"/>
  <c r="F17" i="8"/>
  <c r="B17" i="8"/>
  <c r="A17" i="8"/>
  <c r="Q16" i="8"/>
  <c r="P16" i="8"/>
  <c r="O16" i="8"/>
  <c r="N16" i="8"/>
  <c r="M16" i="8"/>
  <c r="L16" i="8"/>
  <c r="K16" i="8"/>
  <c r="J16" i="8"/>
  <c r="I16" i="8"/>
  <c r="H16" i="8"/>
  <c r="G16" i="8"/>
  <c r="F16" i="8"/>
  <c r="B16" i="8"/>
  <c r="A16" i="8"/>
  <c r="Q15" i="8"/>
  <c r="P15" i="8"/>
  <c r="O15" i="8"/>
  <c r="N15" i="8"/>
  <c r="M15" i="8"/>
  <c r="L15" i="8"/>
  <c r="K15" i="8"/>
  <c r="J15" i="8"/>
  <c r="I15" i="8"/>
  <c r="H15" i="8"/>
  <c r="G15" i="8"/>
  <c r="F15" i="8"/>
  <c r="B15" i="8"/>
  <c r="A15" i="8"/>
  <c r="Q14" i="8"/>
  <c r="P14" i="8"/>
  <c r="O14" i="8"/>
  <c r="N14" i="8"/>
  <c r="M14" i="8"/>
  <c r="L14" i="8"/>
  <c r="K14" i="8"/>
  <c r="J14" i="8"/>
  <c r="I14" i="8"/>
  <c r="H14" i="8"/>
  <c r="G14" i="8"/>
  <c r="F14" i="8"/>
  <c r="B14" i="8"/>
  <c r="A14" i="8"/>
  <c r="Q13" i="8"/>
  <c r="P13" i="8"/>
  <c r="O13" i="8"/>
  <c r="N13" i="8"/>
  <c r="M13" i="8"/>
  <c r="L13" i="8"/>
  <c r="K13" i="8"/>
  <c r="J13" i="8"/>
  <c r="I13" i="8"/>
  <c r="H13" i="8"/>
  <c r="G13" i="8"/>
  <c r="F13" i="8"/>
  <c r="B13" i="8"/>
  <c r="A13" i="8"/>
  <c r="Q12" i="8"/>
  <c r="P12" i="8"/>
  <c r="O12" i="8"/>
  <c r="N12" i="8"/>
  <c r="M12" i="8"/>
  <c r="L12" i="8"/>
  <c r="K12" i="8"/>
  <c r="J12" i="8"/>
  <c r="I12" i="8"/>
  <c r="H12" i="8"/>
  <c r="G12" i="8"/>
  <c r="F12" i="8"/>
  <c r="B12" i="8"/>
  <c r="A12" i="8"/>
  <c r="Q11" i="8"/>
  <c r="P11" i="8"/>
  <c r="O11" i="8"/>
  <c r="N11" i="8"/>
  <c r="M11" i="8"/>
  <c r="L11" i="8"/>
  <c r="K11" i="8"/>
  <c r="J11" i="8"/>
  <c r="I11" i="8"/>
  <c r="H11" i="8"/>
  <c r="G11" i="8"/>
  <c r="F11" i="8"/>
  <c r="B11" i="8"/>
  <c r="A11" i="8"/>
  <c r="Q10" i="8"/>
  <c r="P10" i="8"/>
  <c r="O10" i="8"/>
  <c r="N10" i="8"/>
  <c r="M10" i="8"/>
  <c r="L10" i="8"/>
  <c r="K10" i="8"/>
  <c r="J10" i="8"/>
  <c r="I10" i="8"/>
  <c r="H10" i="8"/>
  <c r="G10" i="8"/>
  <c r="F10" i="8"/>
  <c r="B10" i="8"/>
  <c r="A10" i="8"/>
  <c r="Q9" i="8"/>
  <c r="P9" i="8"/>
  <c r="O9" i="8"/>
  <c r="N9" i="8"/>
  <c r="M9" i="8"/>
  <c r="L9" i="8"/>
  <c r="K9" i="8"/>
  <c r="J9" i="8"/>
  <c r="I9" i="8"/>
  <c r="H9" i="8"/>
  <c r="G9" i="8"/>
  <c r="F9" i="8"/>
  <c r="B9" i="8"/>
  <c r="A9" i="8"/>
  <c r="Q8" i="8"/>
  <c r="P8" i="8"/>
  <c r="O8" i="8"/>
  <c r="N8" i="8"/>
  <c r="M8" i="8"/>
  <c r="L8" i="8"/>
  <c r="K8" i="8"/>
  <c r="J8" i="8"/>
  <c r="I8" i="8"/>
  <c r="H8" i="8"/>
  <c r="G8" i="8"/>
  <c r="F8" i="8"/>
  <c r="B8" i="8"/>
  <c r="A8" i="8"/>
  <c r="Q7" i="8"/>
  <c r="P7" i="8"/>
  <c r="O7" i="8"/>
  <c r="N7" i="8"/>
  <c r="M7" i="8"/>
  <c r="L7" i="8"/>
  <c r="K7" i="8"/>
  <c r="J7" i="8"/>
  <c r="I7" i="8"/>
  <c r="H7" i="8"/>
  <c r="G7" i="8"/>
  <c r="F7" i="8"/>
  <c r="B7" i="8"/>
  <c r="A7" i="8"/>
  <c r="Q6" i="8"/>
  <c r="P6" i="8"/>
  <c r="O6" i="8"/>
  <c r="N6" i="8"/>
  <c r="M6" i="8"/>
  <c r="L6" i="8"/>
  <c r="K6" i="8"/>
  <c r="J6" i="8"/>
  <c r="I6" i="8"/>
  <c r="H6" i="8"/>
  <c r="G6" i="8"/>
  <c r="F6" i="8"/>
  <c r="B6" i="8"/>
  <c r="A6" i="8"/>
  <c r="Q5" i="8"/>
  <c r="P5" i="8"/>
  <c r="O5" i="8"/>
  <c r="N5" i="8"/>
  <c r="M5" i="8"/>
  <c r="L5" i="8"/>
  <c r="K5" i="8"/>
  <c r="J5" i="8"/>
  <c r="I5" i="8"/>
  <c r="H5" i="8"/>
  <c r="G5" i="8"/>
  <c r="F5" i="8"/>
  <c r="B5" i="8"/>
  <c r="A5" i="8"/>
  <c r="Q4" i="8"/>
  <c r="P4" i="8"/>
  <c r="O4" i="8"/>
  <c r="N4" i="8"/>
  <c r="M4" i="8"/>
  <c r="L4" i="8"/>
  <c r="K4" i="8"/>
  <c r="J4" i="8"/>
  <c r="I4" i="8"/>
  <c r="H4" i="8"/>
  <c r="G4" i="8"/>
  <c r="F4" i="8"/>
  <c r="B4" i="8"/>
  <c r="A4" i="8"/>
</calcChain>
</file>

<file path=xl/sharedStrings.xml><?xml version="1.0" encoding="utf-8"?>
<sst xmlns="http://schemas.openxmlformats.org/spreadsheetml/2006/main" count="567" uniqueCount="267">
  <si>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</si>
  <si>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</si>
  <si>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</si>
  <si>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</si>
  <si>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</si>
  <si>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</si>
  <si>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</si>
  <si>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</si>
  <si>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</si>
  <si>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</si>
  <si>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</si>
  <si>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</si>
  <si>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</si>
  <si>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</si>
  <si>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</si>
  <si>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</si>
  <si>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</si>
  <si>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</si>
  <si>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</si>
  <si>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</si>
  <si>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</si>
  <si>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</si>
  <si>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</si>
  <si>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</si>
  <si>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</si>
  <si>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</si>
  <si>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</si>
  <si>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</si>
  <si>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</si>
  <si>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</si>
  <si>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</si>
  <si>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</si>
  <si>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</si>
  <si>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</si>
  <si>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</si>
  <si>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</si>
  <si>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</si>
  <si>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</si>
  <si>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</si>
  <si>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</si>
  <si>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</si>
  <si>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</si>
  <si>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</si>
  <si>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</si>
  <si>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</si>
  <si>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</si>
  <si>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</si>
  <si>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</si>
  <si>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</si>
  <si>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</si>
  <si>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</si>
  <si>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</si>
  <si>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</si>
  <si>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</si>
  <si>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</si>
  <si>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</si>
  <si>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</si>
  <si>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</si>
  <si>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</si>
  <si>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</si>
  <si>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</si>
  <si>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</si>
  <si>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</si>
  <si>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</si>
  <si>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</si>
  <si>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</si>
  <si>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</si>
  <si>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</si>
  <si>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</si>
  <si>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</si>
  <si>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</si>
  <si>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</si>
  <si>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</si>
  <si>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</si>
  <si>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</si>
  <si>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</si>
  <si>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</si>
  <si>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</si>
  <si>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</si>
  <si>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</si>
  <si>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</si>
  <si>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</si>
  <si>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</si>
  <si>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</si>
  <si>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</si>
  <si>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</si>
  <si>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</si>
  <si>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</si>
  <si>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</si>
  <si>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</si>
  <si>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</si>
  <si>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</si>
  <si>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</si>
  <si>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</si>
  <si>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</si>
  <si>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</si>
  <si>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</si>
  <si>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</si>
  <si>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</si>
  <si>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</si>
  <si>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</si>
  <si>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</si>
  <si>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</si>
  <si>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</si>
  <si>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</si>
  <si>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</si>
  <si>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</si>
  <si>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</si>
  <si>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</si>
  <si>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</si>
  <si>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</si>
  <si>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</si>
  <si>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</si>
  <si>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</si>
  <si>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</si>
  <si>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</si>
  <si>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</si>
  <si>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</si>
  <si>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</si>
  <si>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</si>
  <si>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</si>
  <si>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</si>
  <si>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</si>
  <si>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</si>
  <si>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</si>
  <si>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</si>
  <si>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</si>
  <si>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</si>
  <si>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</si>
  <si>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</si>
  <si>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</si>
  <si>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</si>
  <si>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</si>
  <si>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</si>
  <si>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</si>
  <si>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</si>
  <si>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</si>
  <si>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</si>
  <si>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</si>
  <si>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</si>
  <si>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</si>
  <si>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</si>
  <si>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</si>
  <si>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</si>
  <si>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</si>
  <si>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</si>
  <si>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</si>
  <si>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</si>
  <si>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</si>
  <si>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</si>
  <si>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</si>
  <si>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</si>
  <si>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</si>
  <si>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</si>
  <si>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</si>
  <si>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</si>
  <si>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</si>
  <si>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</si>
  <si>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</si>
  <si>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</si>
  <si>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</si>
  <si>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</si>
  <si>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</si>
  <si>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</si>
  <si>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</si>
  <si>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</si>
  <si>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</si>
  <si>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</si>
  <si>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</si>
  <si>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</si>
  <si>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</si>
  <si>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</si>
  <si>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</si>
  <si>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</si>
  <si>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</si>
  <si>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</si>
  <si>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</si>
  <si>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</si>
  <si>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</si>
  <si>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</si>
  <si>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</si>
  <si>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</si>
  <si>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</si>
  <si>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</si>
  <si>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</si>
  <si>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</si>
  <si>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</si>
  <si>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</si>
  <si>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</si>
  <si>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</si>
  <si>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</si>
  <si>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</si>
  <si>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</si>
  <si>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</si>
  <si>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</si>
  <si>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</si>
  <si>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</si>
  <si>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</si>
  <si>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</si>
  <si>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</si>
  <si>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</si>
  <si>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</si>
  <si>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</si>
  <si>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</si>
  <si>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</si>
  <si>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</si>
  <si>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</si>
  <si>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</si>
  <si>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</si>
  <si>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</si>
  <si>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</si>
  <si>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</si>
  <si>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</si>
  <si>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</si>
  <si>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</si>
  <si>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</si>
  <si>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</si>
  <si>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</si>
  <si>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</si>
  <si>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</si>
  <si>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</si>
  <si>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</si>
  <si>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</si>
  <si>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</si>
  <si>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</si>
  <si>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</si>
  <si>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</si>
  <si>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</si>
  <si>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</si>
  <si>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</si>
  <si>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</si>
  <si>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</si>
  <si>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</si>
  <si>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</si>
  <si>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</si>
  <si>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</si>
  <si>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</si>
  <si>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</si>
  <si>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</si>
  <si>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</si>
  <si>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</si>
  <si>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</si>
  <si>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</si>
  <si>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</si>
  <si>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</si>
  <si>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</si>
  <si>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</si>
  <si>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</si>
  <si>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</si>
  <si>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</si>
  <si>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</si>
  <si>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</si>
  <si>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</si>
  <si>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</si>
  <si>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</si>
  <si>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</si>
  <si>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</si>
  <si>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</si>
  <si>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</si>
  <si>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</si>
  <si>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</si>
  <si>
    <t>Baldenheim</t>
  </si>
  <si>
    <t>Extérieur</t>
  </si>
  <si>
    <t>Penalty</t>
  </si>
  <si>
    <t>Jaune</t>
  </si>
  <si>
    <t>SUIVI MAILLOTS (LESSIVE)</t>
  </si>
  <si>
    <t>Une ligne par match : qui a pris les maillots pour le lavage.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</si>
</sst>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2" t="s">
        <v>0</v>
      </c>
      <c r="B1" s="22"/>
    </row>
    <row r="3" spans="1:2" ht="15" customHeight="1" x14ac:dyDescent="0.25">
      <c r="A3" s="1" t="s">
        <v>1</v>
      </c>
    </row>
    <row r="4" spans="1:2" ht="55.5" customHeight="1" x14ac:dyDescent="0.25">
      <c r="A4" s="24" t="s">
        <v>2</v>
      </c>
      <c r="B4" s="24"/>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5" t="s">
        <v>19</v>
      </c>
      <c r="B23" s="25"/>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2" t="s">
        <v>34</v>
      </c>
      <c r="B1" s="22"/>
      <c r="C1" s="22"/>
      <c r="D1" s="22"/>
      <c r="E1" s="22"/>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M11" sqref="M11"/>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2" t="s">
        <v>115</v>
      </c>
      <c r="B1" s="22"/>
      <c r="C1" s="22"/>
      <c r="D1" s="22"/>
      <c r="E1" s="22"/>
      <c r="F1" s="22"/>
      <c r="G1" s="22"/>
      <c r="H1" s="22"/>
      <c r="I1" s="22"/>
      <c r="J1" s="22"/>
      <c r="K1" s="22"/>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140</v>
      </c>
      <c r="M4" s="4">
        <v>1</v>
      </c>
      <c r="O4" s="5" t="s">
        <v>140</v>
      </c>
      <c r="P4" s="5">
        <f>Q4+R4+S4</f>
        <v>1</v>
      </c>
      <c r="Q4" s="5">
        <f>SUMPRODUCT(($L$4:$L$31=O4)*($G$4:$G$31&gt;$H$4:$H$31)*ISNUMBER($G$4:$G$31)*ISNUMBER($H$4:$H$31))</f>
        <v>0</v>
      </c>
      <c r="R4" s="5">
        <f>SUMPRODUCT(($L$4:$L$31=O4)*($G$4:$G$31=$H$4:$H$31)*ISNUMBER($G$4:$G$31)*ISNUMBER($H$4:$H$31))</f>
        <v>0</v>
      </c>
      <c r="S4" s="5">
        <f>SUMPRODUCT(($L$4:$L$31=O4)*($G$4:$G$31&lt;$H$4:$H$31)*ISNUMBER($G$4:$G$31)*ISNUMBER($H$4:$H$31))</f>
        <v>1</v>
      </c>
      <c r="T4" s="16">
        <f>IF(P4=0,"",Q4/P4)</f>
        <v>0</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t="s">
        <v>142</v>
      </c>
      <c r="M5" s="4"/>
      <c r="O5" s="5" t="s">
        <v>141</v>
      </c>
      <c r="P5" s="5">
        <f>Q5+R5+S5</f>
        <v>1</v>
      </c>
      <c r="Q5" s="5">
        <f>SUMPRODUCT(($L$4:$L$31=O5)*($G$4:$G$31&gt;$H$4:$H$31)*ISNUMBER($G$4:$G$31)*ISNUMBER($H$4:$H$31))</f>
        <v>1</v>
      </c>
      <c r="R5" s="5">
        <f>SUMPRODUCT(($L$4:$L$31=O5)*($G$4:$G$31=$H$4:$H$31)*ISNUMBER($G$4:$G$31)*ISNUMBER($H$4:$H$31))</f>
        <v>0</v>
      </c>
      <c r="S5" s="5">
        <f>SUMPRODUCT(($L$4:$L$31=O5)*($G$4:$G$31&lt;$H$4:$H$31)*ISNUMBER($G$4:$G$31)*ISNUMBER($H$4:$H$31))</f>
        <v>0</v>
      </c>
      <c r="T5" s="16">
        <f>IF(P5=0,"",Q5/P5)</f>
        <v>1</v>
      </c>
    </row>
    <row r="6" spans="1:20" ht="15" customHeight="1" x14ac:dyDescent="0.25">
      <c r="A6" s="11">
        <f t="shared" si="0"/>
        <v>3</v>
      </c>
      <c r="B6" s="21">
        <v>46291</v>
      </c>
      <c r="C6" s="10" t="s">
        <v>261</v>
      </c>
      <c r="D6" s="14" t="s">
        <v>137</v>
      </c>
      <c r="E6" s="10" t="s">
        <v>262</v>
      </c>
      <c r="F6" s="10">
        <v>90</v>
      </c>
      <c r="G6" s="11">
        <v>5</v>
      </c>
      <c r="H6" s="11">
        <f>IF(B6="","",COUNTIFS(Buts!$A$4:$A$151,A6,Buts!$E$4:$E$151,"Adverse"))</f>
        <v>0</v>
      </c>
      <c r="I6" s="11">
        <f>IF(B6="","",COUNTIFS('Convocations &amp; Temps de jeu'!$A$4:$A$675,A6,'Convocations &amp; Temps de jeu'!$C$4:$C$675,"Oui"))</f>
        <v>14</v>
      </c>
      <c r="J6" s="11">
        <f>IF(B6="","",COUNTIFS('Convocations &amp; Temps de jeu'!$A$4:$A$675,A6,'Convocations &amp; Temps de jeu'!$C$4:$C$675,"Oui",'Convocations &amp; Temps de jeu'!$G$4:$G$675,"Équipe 1"))</f>
        <v>1</v>
      </c>
      <c r="K6" s="11" t="str">
        <f t="shared" si="1"/>
        <v/>
      </c>
      <c r="L6" s="4" t="s">
        <v>141</v>
      </c>
      <c r="M6" s="4"/>
      <c r="O6" s="5" t="s">
        <v>142</v>
      </c>
      <c r="P6" s="5">
        <f>Q6+R6+S6</f>
        <v>1</v>
      </c>
      <c r="Q6" s="5">
        <f>SUMPRODUCT(($L$4:$L$31=O6)*($G$4:$G$31&gt;$H$4:$H$31)*ISNUMBER($G$4:$G$31)*ISNUMBER($H$4:$H$31))</f>
        <v>1</v>
      </c>
      <c r="R6" s="5">
        <f>SUMPRODUCT(($L$4:$L$31=O6)*($G$4:$G$31=$H$4:$H$31)*ISNUMBER($G$4:$G$31)*ISNUMBER($H$4:$H$31))</f>
        <v>0</v>
      </c>
      <c r="S6" s="5">
        <f>SUMPRODUCT(($L$4:$L$31=O6)*($G$4:$G$31&lt;$H$4:$H$31)*ISNUMBER($G$4:$G$31)*ISNUMBER($H$4:$H$31))</f>
        <v>0</v>
      </c>
      <c r="T6" s="16">
        <f>IF(P6=0,"",Q6/P6)</f>
        <v>1</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0</v>
      </c>
      <c r="Q7" s="5">
        <f>SUMPRODUCT(($L$4:$L$31=O7)*($G$4:$G$31&gt;$H$4:$H$31)*ISNUMBER($G$4:$G$31)*ISNUMBER($H$4:$H$31))</f>
        <v>0</v>
      </c>
      <c r="R7" s="5">
        <f>SUMPRODUCT(($L$4:$L$31=O7)*($G$4:$G$31=$H$4:$H$31)*ISNUMBER($G$4:$G$31)*ISNUMBER($H$4:$H$31))</f>
        <v>0</v>
      </c>
      <c r="S7" s="5">
        <f>SUMPRODUCT(($L$4:$L$31=O7)*($G$4:$G$31&lt;$H$4:$H$31)*ISNUMBER($G$4:$G$31)*ISNUMBER($H$4:$H$31))</f>
        <v>0</v>
      </c>
      <c r="T7" s="16"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F23" sqref="F23"/>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2" t="s">
        <v>143</v>
      </c>
      <c r="B1" s="22"/>
      <c r="C1" s="22"/>
      <c r="D1" s="22"/>
      <c r="E1" s="22"/>
      <c r="F1" s="22"/>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v>3</v>
      </c>
      <c r="B19" s="10">
        <v>7</v>
      </c>
      <c r="C19" s="10" t="s">
        <v>232</v>
      </c>
      <c r="D19" s="10"/>
      <c r="E19" s="10" t="s">
        <v>152</v>
      </c>
      <c r="F19" s="10" t="s">
        <v>263</v>
      </c>
    </row>
    <row r="20" spans="1:6" ht="15" customHeight="1" x14ac:dyDescent="0.25">
      <c r="A20" s="10">
        <v>3</v>
      </c>
      <c r="B20" s="10">
        <v>29</v>
      </c>
      <c r="C20" s="10" t="s">
        <v>156</v>
      </c>
      <c r="D20" s="10" t="s">
        <v>232</v>
      </c>
      <c r="E20" s="10" t="s">
        <v>152</v>
      </c>
      <c r="F20" s="10" t="s">
        <v>260</v>
      </c>
    </row>
    <row r="21" spans="1:6" ht="15" customHeight="1" x14ac:dyDescent="0.25">
      <c r="A21" s="10">
        <v>3</v>
      </c>
      <c r="B21" s="10">
        <v>37</v>
      </c>
      <c r="C21" s="10" t="s">
        <v>232</v>
      </c>
      <c r="D21" s="10" t="s">
        <v>150</v>
      </c>
      <c r="E21" s="10" t="s">
        <v>152</v>
      </c>
      <c r="F21" s="10" t="s">
        <v>153</v>
      </c>
    </row>
    <row r="22" spans="1:6" ht="15" customHeight="1" x14ac:dyDescent="0.25">
      <c r="A22" s="10">
        <v>3</v>
      </c>
      <c r="B22" s="10">
        <v>73</v>
      </c>
      <c r="C22" s="10" t="s">
        <v>154</v>
      </c>
      <c r="D22" s="10" t="s">
        <v>232</v>
      </c>
      <c r="E22" s="10" t="s">
        <v>152</v>
      </c>
      <c r="F22" s="10" t="s">
        <v>260</v>
      </c>
    </row>
    <row r="23" spans="1:6" ht="15" customHeight="1" x14ac:dyDescent="0.25">
      <c r="A23" s="10">
        <v>3</v>
      </c>
      <c r="B23" s="10">
        <v>89</v>
      </c>
      <c r="C23" s="10" t="s">
        <v>154</v>
      </c>
      <c r="D23" s="10" t="s">
        <v>176</v>
      </c>
      <c r="E23" s="10" t="s">
        <v>152</v>
      </c>
      <c r="F23" s="10" t="s">
        <v>153</v>
      </c>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C7" sqref="C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2" t="s">
        <v>158</v>
      </c>
      <c r="B1" s="22"/>
      <c r="C1" s="22"/>
      <c r="D1" s="22"/>
      <c r="E1" s="22"/>
      <c r="F1" s="22"/>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v>3</v>
      </c>
      <c r="B4" s="14">
        <v>35</v>
      </c>
      <c r="C4" s="14" t="s">
        <v>224</v>
      </c>
      <c r="D4" s="14" t="s">
        <v>152</v>
      </c>
      <c r="E4" s="14" t="s">
        <v>264</v>
      </c>
      <c r="F4" s="14"/>
    </row>
    <row r="5" spans="1:6" ht="15" customHeight="1" x14ac:dyDescent="0.25">
      <c r="A5" s="10">
        <v>3</v>
      </c>
      <c r="B5" s="10">
        <v>58</v>
      </c>
      <c r="C5" s="10" t="s">
        <v>154</v>
      </c>
      <c r="D5" s="10" t="s">
        <v>152</v>
      </c>
      <c r="E5" s="10" t="s">
        <v>264</v>
      </c>
      <c r="F5" s="10"/>
    </row>
    <row r="6" spans="1:6" ht="15" customHeight="1" x14ac:dyDescent="0.25">
      <c r="A6" s="10">
        <v>3</v>
      </c>
      <c r="B6" s="10">
        <v>72</v>
      </c>
      <c r="C6" s="10" t="s">
        <v>150</v>
      </c>
      <c r="D6" s="10" t="s">
        <v>152</v>
      </c>
      <c r="E6" s="10" t="s">
        <v>264</v>
      </c>
      <c r="F6" s="10"/>
    </row>
    <row r="7" spans="1:6" ht="15" customHeight="1" x14ac:dyDescent="0.25">
      <c r="A7" s="10">
        <v>3</v>
      </c>
      <c r="B7" s="10">
        <v>84</v>
      </c>
      <c r="C7" s="10" t="s">
        <v>169</v>
      </c>
      <c r="D7" s="10" t="s">
        <v>152</v>
      </c>
      <c r="E7" s="10" t="s">
        <v>264</v>
      </c>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10" sqref="D10"/>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6" t="s">
        <v>162</v>
      </c>
      <c r="B1" s="26"/>
      <c r="C1" s="26"/>
      <c r="D1" s="26"/>
      <c r="E1" s="26"/>
      <c r="F1" s="26"/>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v>3</v>
      </c>
      <c r="B6" s="4" t="s">
        <v>233</v>
      </c>
      <c r="C6" s="4">
        <v>0</v>
      </c>
      <c r="D6" s="4" t="str">
        <f t="shared" si="0"/>
        <v>Oui</v>
      </c>
      <c r="E6" s="4"/>
      <c r="F6" s="4"/>
      <c r="G6" s="17" t="str">
        <f>IF(A6="","",IF(SUMIFS($C$4:$C$500,$A$4:$A$500,A6)=IFERROR(INDEX(Matchs!$H$4:$H$31,MATCH(A6,Matchs!$A$4:$A$31,0)),""),"OK","⚠ Vérifier vs score adverse"))</f>
        <v>OK</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A23" sqref="A23"/>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2" t="s">
        <v>170</v>
      </c>
      <c r="B1" s="22"/>
      <c r="C1" s="22"/>
      <c r="D1" s="22"/>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v>3</v>
      </c>
      <c r="B18" s="10">
        <v>45</v>
      </c>
      <c r="C18" s="10" t="s">
        <v>155</v>
      </c>
      <c r="D18" s="10" t="s">
        <v>235</v>
      </c>
      <c r="F18" s="17"/>
      <c r="G18" s="17"/>
    </row>
    <row r="19" spans="1:7" ht="15" customHeight="1" x14ac:dyDescent="0.25">
      <c r="A19" s="10">
        <v>3</v>
      </c>
      <c r="B19" s="10">
        <v>45</v>
      </c>
      <c r="C19" s="10" t="s">
        <v>198</v>
      </c>
      <c r="D19" s="10" t="s">
        <v>234</v>
      </c>
      <c r="F19" s="17"/>
      <c r="G19" s="17"/>
    </row>
    <row r="20" spans="1:7" ht="15" customHeight="1" x14ac:dyDescent="0.25">
      <c r="A20" s="10">
        <v>3</v>
      </c>
      <c r="B20" s="10">
        <v>49</v>
      </c>
      <c r="C20" s="10" t="s">
        <v>235</v>
      </c>
      <c r="D20" s="10" t="s">
        <v>198</v>
      </c>
      <c r="F20" s="17"/>
      <c r="G20" s="17"/>
    </row>
    <row r="21" spans="1:7" ht="15" customHeight="1" x14ac:dyDescent="0.25">
      <c r="A21" s="10">
        <v>3</v>
      </c>
      <c r="B21" s="10">
        <v>71</v>
      </c>
      <c r="C21" s="10" t="s">
        <v>198</v>
      </c>
      <c r="D21" s="10" t="s">
        <v>246</v>
      </c>
      <c r="F21" s="17"/>
      <c r="G21" s="17"/>
    </row>
    <row r="22" spans="1:7" ht="15" customHeight="1" x14ac:dyDescent="0.25">
      <c r="A22" s="10">
        <v>3</v>
      </c>
      <c r="B22" s="10">
        <v>79</v>
      </c>
      <c r="C22" s="10" t="s">
        <v>232</v>
      </c>
      <c r="D22" s="10" t="s">
        <v>155</v>
      </c>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43" activePane="bottomLeft" state="frozen"/>
      <selection pane="bottomLeft" activeCell="E73" sqref="E7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2" t="s">
        <v>177</v>
      </c>
      <c r="B1" s="22"/>
      <c r="C1" s="22"/>
      <c r="D1" s="22"/>
      <c r="E1" s="22"/>
      <c r="F1" s="22"/>
      <c r="G1" s="22"/>
      <c r="H1" s="22"/>
      <c r="I1" s="22"/>
      <c r="J1" s="22"/>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v>3</v>
      </c>
      <c r="B51" s="10" t="str">
        <f>INDEX('Effectif Saison'!$E$23:$E$42,20)</f>
        <v>Loys STANISZEWSKI</v>
      </c>
      <c r="C51" s="10" t="s">
        <v>195</v>
      </c>
      <c r="D51" s="10"/>
      <c r="E51" s="10" t="s">
        <v>194</v>
      </c>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f>IF(M51=0,"",IFERROR(_xlfn.MAXIFS(Changements!$B:$B,Changements!$A:$A,A51,Changements!$C:$C,B51),""))</f>
        <v>49</v>
      </c>
      <c r="J51" s="11">
        <f t="shared" si="1"/>
        <v>4</v>
      </c>
      <c r="K51" s="17">
        <f t="shared" si="2"/>
        <v>1</v>
      </c>
      <c r="L51" s="17">
        <f>IF(B51="",0,COUNTIFS(Changements!$A:$A,A51,Changements!$D:$D,B51)+IF(E51="Oui",1,0))</f>
        <v>1</v>
      </c>
      <c r="M51" s="17">
        <f>IF(B51="",0,COUNTIFS(Changements!$A:$A,A51,Changements!$C:$C,B51))</f>
        <v>1</v>
      </c>
      <c r="N51" s="17">
        <f>IF(B51="",0,SUMIFS(Changements!$B:$B,Changements!$A:$A,A51,Changements!$D:$D,B51))</f>
        <v>45</v>
      </c>
      <c r="O51" s="17">
        <f>IF(B51="",0,SUMIFS(Changements!$B:$B,Changements!$A:$A,A51,Changements!$C:$C,B51)+IF(L51&gt;M51,IFERROR(INDEX(Matchs!$F$4:$F$31,MATCH(A51,Matchs!$A$4:$A$31,0)),0),0))</f>
        <v>49</v>
      </c>
      <c r="P51" s="17">
        <f t="shared" si="3"/>
        <v>1</v>
      </c>
      <c r="Q51" s="17">
        <f t="shared" si="4"/>
        <v>0</v>
      </c>
    </row>
    <row r="52" spans="1:17" ht="15" customHeight="1" x14ac:dyDescent="0.25">
      <c r="A52" s="11">
        <f t="shared" si="0"/>
        <v>3</v>
      </c>
      <c r="B52" s="11" t="str">
        <f>INDEX('Effectif Saison'!$E$23:$E$42,1)</f>
        <v>Mathias STRAUB</v>
      </c>
      <c r="C52" s="10" t="s">
        <v>194</v>
      </c>
      <c r="D52" s="10" t="s">
        <v>226</v>
      </c>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t="s">
        <v>195</v>
      </c>
      <c r="D53" s="10"/>
      <c r="E53" s="10" t="s">
        <v>195</v>
      </c>
      <c r="F53" s="19" t="str">
        <f>IF(B53="","",IF(AND(E53="Oui",COUNTIFS(Changements!$A:$A,A53,Changements!$D:$D,B53)&gt;0),"⚠ Titulaire+entrée ?",IF(ABS(L53-M53)&gt;1,"⚠ vérifier","")))</f>
        <v/>
      </c>
      <c r="G53" s="11" t="str">
        <f>IF(B53="","",IFERROR(INDEX('Effectif Saison'!$D$4:$D$51,MATCH(B53,'Effectif Saison'!$E$4:$E$51,0)),""))</f>
        <v>Équipe 2</v>
      </c>
      <c r="H53" s="19">
        <f>IF(L53=0,"",IF(E53="Oui",0,IFERROR(_xlfn.MINIFS(Changements!$B:$B,Changements!$A:$A,A53,Changements!$D:$D,B53),"")))</f>
        <v>0</v>
      </c>
      <c r="I53" s="19" t="str">
        <f>IF(M53=0,"",IFERROR(_xlfn.MAXIFS(Changements!$B:$B,Changements!$A:$A,A53,Changements!$C:$C,B53),""))</f>
        <v/>
      </c>
      <c r="J53" s="11">
        <f t="shared" si="1"/>
        <v>90</v>
      </c>
      <c r="K53" s="17">
        <f t="shared" si="2"/>
        <v>1</v>
      </c>
      <c r="L53" s="17">
        <f>IF(B53="",0,COUNTIFS(Changements!$A:$A,A53,Changements!$D:$D,B53)+IF(E53="Oui",1,0))</f>
        <v>1</v>
      </c>
      <c r="M53" s="17">
        <f>IF(B53="",0,COUNTIFS(Changements!$A:$A,A53,Changements!$C:$C,B53))</f>
        <v>0</v>
      </c>
      <c r="N53" s="17">
        <f>IF(B53="",0,SUMIFS(Changements!$B:$B,Changements!$A:$A,A53,Changements!$D:$D,B53))</f>
        <v>0</v>
      </c>
      <c r="O53" s="17">
        <f>IF(B53="",0,SUMIFS(Changements!$B:$B,Changements!$A:$A,A53,Changements!$C:$C,B53)+IF(L53&gt;M53,IFERROR(INDEX(Matchs!$F$4:$F$31,MATCH(A53,Matchs!$A$4:$A$31,0)),0),0))</f>
        <v>90</v>
      </c>
      <c r="P53" s="17">
        <f t="shared" si="3"/>
        <v>1</v>
      </c>
      <c r="Q53" s="17">
        <f t="shared" si="4"/>
        <v>1</v>
      </c>
    </row>
    <row r="54" spans="1:17" ht="15" customHeight="1" x14ac:dyDescent="0.25">
      <c r="A54" s="11">
        <f t="shared" si="0"/>
        <v>3</v>
      </c>
      <c r="B54" s="11" t="str">
        <f>INDEX('Effectif Saison'!$E$23:$E$42,3)</f>
        <v>Jules JEHL</v>
      </c>
      <c r="C54" s="10" t="s">
        <v>195</v>
      </c>
      <c r="D54" s="10"/>
      <c r="E54" s="10" t="s">
        <v>195</v>
      </c>
      <c r="F54" s="19" t="str">
        <f>IF(B54="","",IF(AND(E54="Oui",COUNTIFS(Changements!$A:$A,A54,Changements!$D:$D,B54)&gt;0),"⚠ Titulaire+entrée ?",IF(ABS(L54-M54)&gt;1,"⚠ vérifier","")))</f>
        <v/>
      </c>
      <c r="G54" s="11" t="str">
        <f>IF(B54="","",IFERROR(INDEX('Effectif Saison'!$D$4:$D$51,MATCH(B54,'Effectif Saison'!$E$4:$E$51,0)),""))</f>
        <v>Équipe 2</v>
      </c>
      <c r="H54" s="19">
        <f>IF(L54=0,"",IF(E54="Oui",0,IFERROR(_xlfn.MINIFS(Changements!$B:$B,Changements!$A:$A,A54,Changements!$D:$D,B54),"")))</f>
        <v>0</v>
      </c>
      <c r="I54" s="19" t="str">
        <f>IF(M54=0,"",IFERROR(_xlfn.MAXIFS(Changements!$B:$B,Changements!$A:$A,A54,Changements!$C:$C,B54),""))</f>
        <v/>
      </c>
      <c r="J54" s="11">
        <f t="shared" si="1"/>
        <v>90</v>
      </c>
      <c r="K54" s="17">
        <f t="shared" si="2"/>
        <v>1</v>
      </c>
      <c r="L54" s="17">
        <f>IF(B54="",0,COUNTIFS(Changements!$A:$A,A54,Changements!$D:$D,B54)+IF(E54="Oui",1,0))</f>
        <v>1</v>
      </c>
      <c r="M54" s="17">
        <f>IF(B54="",0,COUNTIFS(Changements!$A:$A,A54,Changements!$C:$C,B54))</f>
        <v>0</v>
      </c>
      <c r="N54" s="17">
        <f>IF(B54="",0,SUMIFS(Changements!$B:$B,Changements!$A:$A,A54,Changements!$D:$D,B54))</f>
        <v>0</v>
      </c>
      <c r="O54" s="17">
        <f>IF(B54="",0,SUMIFS(Changements!$B:$B,Changements!$A:$A,A54,Changements!$C:$C,B54)+IF(L54&gt;M54,IFERROR(INDEX(Matchs!$F$4:$F$31,MATCH(A54,Matchs!$A$4:$A$31,0)),0),0))</f>
        <v>90</v>
      </c>
      <c r="P54" s="17">
        <f t="shared" si="3"/>
        <v>1</v>
      </c>
      <c r="Q54" s="17">
        <f t="shared" si="4"/>
        <v>1</v>
      </c>
    </row>
    <row r="55" spans="1:17" ht="15" customHeight="1" x14ac:dyDescent="0.25">
      <c r="A55" s="11">
        <f t="shared" si="0"/>
        <v>3</v>
      </c>
      <c r="B55" s="11" t="str">
        <f>INDEX('Effectif Saison'!$E$23:$E$42,4)</f>
        <v>Bastien BOHN</v>
      </c>
      <c r="C55" s="10" t="s">
        <v>195</v>
      </c>
      <c r="D55" s="10"/>
      <c r="E55" s="10" t="s">
        <v>195</v>
      </c>
      <c r="F55" s="19" t="str">
        <f>IF(B55="","",IF(AND(E55="Oui",COUNTIFS(Changements!$A:$A,A55,Changements!$D:$D,B55)&gt;0),"⚠ Titulaire+entrée ?",IF(ABS(L55-M55)&gt;1,"⚠ vérifier","")))</f>
        <v/>
      </c>
      <c r="G55" s="11" t="str">
        <f>IF(B55="","",IFERROR(INDEX('Effectif Saison'!$D$4:$D$51,MATCH(B55,'Effectif Saison'!$E$4:$E$51,0)),""))</f>
        <v>Équipe 2</v>
      </c>
      <c r="H55" s="19">
        <f>IF(L55=0,"",IF(E55="Oui",0,IFERROR(_xlfn.MINIFS(Changements!$B:$B,Changements!$A:$A,A55,Changements!$D:$D,B55),"")))</f>
        <v>0</v>
      </c>
      <c r="I55" s="19" t="str">
        <f>IF(M55=0,"",IFERROR(_xlfn.MAXIFS(Changements!$B:$B,Changements!$A:$A,A55,Changements!$C:$C,B55),""))</f>
        <v/>
      </c>
      <c r="J55" s="11">
        <f t="shared" si="1"/>
        <v>90</v>
      </c>
      <c r="K55" s="17">
        <f t="shared" si="2"/>
        <v>1</v>
      </c>
      <c r="L55" s="17">
        <f>IF(B55="",0,COUNTIFS(Changements!$A:$A,A55,Changements!$D:$D,B55)+IF(E55="Oui",1,0))</f>
        <v>1</v>
      </c>
      <c r="M55" s="17">
        <f>IF(B55="",0,COUNTIFS(Changements!$A:$A,A55,Changements!$C:$C,B55))</f>
        <v>0</v>
      </c>
      <c r="N55" s="17">
        <f>IF(B55="",0,SUMIFS(Changements!$B:$B,Changements!$A:$A,A55,Changements!$D:$D,B55))</f>
        <v>0</v>
      </c>
      <c r="O55" s="17">
        <f>IF(B55="",0,SUMIFS(Changements!$B:$B,Changements!$A:$A,A55,Changements!$C:$C,B55)+IF(L55&gt;M55,IFERROR(INDEX(Matchs!$F$4:$F$31,MATCH(A55,Matchs!$A$4:$A$31,0)),0),0))</f>
        <v>90</v>
      </c>
      <c r="P55" s="17">
        <f t="shared" si="3"/>
        <v>1</v>
      </c>
      <c r="Q55" s="17">
        <f t="shared" si="4"/>
        <v>1</v>
      </c>
    </row>
    <row r="56" spans="1:17" ht="15" customHeight="1" x14ac:dyDescent="0.25">
      <c r="A56" s="11">
        <f t="shared" si="0"/>
        <v>3</v>
      </c>
      <c r="B56" s="11" t="str">
        <f>INDEX('Effectif Saison'!$E$23:$E$42,5)</f>
        <v>Victor KUHLMANN</v>
      </c>
      <c r="C56" s="10" t="s">
        <v>195</v>
      </c>
      <c r="D56" s="10"/>
      <c r="E56" s="10" t="s">
        <v>195</v>
      </c>
      <c r="F56" s="19" t="str">
        <f>IF(B56="","",IF(AND(E56="Oui",COUNTIFS(Changements!$A:$A,A56,Changements!$D:$D,B56)&gt;0),"⚠ Titulaire+entrée ?",IF(ABS(L56-M56)&gt;1,"⚠ vérifier","")))</f>
        <v/>
      </c>
      <c r="G56" s="11" t="str">
        <f>IF(B56="","",IFERROR(INDEX('Effectif Saison'!$D$4:$D$51,MATCH(B56,'Effectif Saison'!$E$4:$E$51,0)),""))</f>
        <v>Équipe 2</v>
      </c>
      <c r="H56" s="19">
        <f>IF(L56=0,"",IF(E56="Oui",0,IFERROR(_xlfn.MINIFS(Changements!$B:$B,Changements!$A:$A,A56,Changements!$D:$D,B56),"")))</f>
        <v>0</v>
      </c>
      <c r="I56" s="19" t="str">
        <f>IF(M56=0,"",IFERROR(_xlfn.MAXIFS(Changements!$B:$B,Changements!$A:$A,A56,Changements!$C:$C,B56),""))</f>
        <v/>
      </c>
      <c r="J56" s="11">
        <f t="shared" si="1"/>
        <v>90</v>
      </c>
      <c r="K56" s="17">
        <f t="shared" si="2"/>
        <v>1</v>
      </c>
      <c r="L56" s="17">
        <f>IF(B56="",0,COUNTIFS(Changements!$A:$A,A56,Changements!$D:$D,B56)+IF(E56="Oui",1,0))</f>
        <v>1</v>
      </c>
      <c r="M56" s="17">
        <f>IF(B56="",0,COUNTIFS(Changements!$A:$A,A56,Changements!$C:$C,B56))</f>
        <v>0</v>
      </c>
      <c r="N56" s="17">
        <f>IF(B56="",0,SUMIFS(Changements!$B:$B,Changements!$A:$A,A56,Changements!$D:$D,B56))</f>
        <v>0</v>
      </c>
      <c r="O56" s="17">
        <f>IF(B56="",0,SUMIFS(Changements!$B:$B,Changements!$A:$A,A56,Changements!$C:$C,B56)+IF(L56&gt;M56,IFERROR(INDEX(Matchs!$F$4:$F$31,MATCH(A56,Matchs!$A$4:$A$31,0)),0),0))</f>
        <v>90</v>
      </c>
      <c r="P56" s="17">
        <f t="shared" si="3"/>
        <v>1</v>
      </c>
      <c r="Q56" s="17">
        <f t="shared" si="4"/>
        <v>1</v>
      </c>
    </row>
    <row r="57" spans="1:17" ht="15" customHeight="1" x14ac:dyDescent="0.25">
      <c r="A57" s="11">
        <f t="shared" si="0"/>
        <v>3</v>
      </c>
      <c r="B57" s="11" t="str">
        <f>INDEX('Effectif Saison'!$E$23:$E$42,6)</f>
        <v>Nathan GOERIG</v>
      </c>
      <c r="C57" s="10" t="s">
        <v>195</v>
      </c>
      <c r="D57" s="10"/>
      <c r="E57" s="10" t="s">
        <v>194</v>
      </c>
      <c r="F57" s="19" t="str">
        <f>IF(B57="","",IF(AND(E57="Oui",COUNTIFS(Changements!$A:$A,A57,Changements!$D:$D,B57)&gt;0),"⚠ Titulaire+entrée ?",IF(ABS(L57-M57)&gt;1,"⚠ vérifier","")))</f>
        <v/>
      </c>
      <c r="G57" s="11" t="str">
        <f>IF(B57="","",IFERROR(INDEX('Effectif Saison'!$D$4:$D$51,MATCH(B57,'Effectif Saison'!$E$4:$E$51,0)),""))</f>
        <v>Équipe 2</v>
      </c>
      <c r="H57" s="19">
        <f>IF(L57=0,"",IF(E57="Oui",0,IFERROR(_xlfn.MINIFS(Changements!$B:$B,Changements!$A:$A,A57,Changements!$D:$D,B57),"")))</f>
        <v>45</v>
      </c>
      <c r="I57" s="19" t="str">
        <f>IF(M57=0,"",IFERROR(_xlfn.MAXIFS(Changements!$B:$B,Changements!$A:$A,A57,Changements!$C:$C,B57),""))</f>
        <v/>
      </c>
      <c r="J57" s="11">
        <f t="shared" si="1"/>
        <v>45</v>
      </c>
      <c r="K57" s="17">
        <f t="shared" si="2"/>
        <v>1</v>
      </c>
      <c r="L57" s="17">
        <f>IF(B57="",0,COUNTIFS(Changements!$A:$A,A57,Changements!$D:$D,B57)+IF(E57="Oui",1,0))</f>
        <v>1</v>
      </c>
      <c r="M57" s="17">
        <f>IF(B57="",0,COUNTIFS(Changements!$A:$A,A57,Changements!$C:$C,B57))</f>
        <v>0</v>
      </c>
      <c r="N57" s="17">
        <f>IF(B57="",0,SUMIFS(Changements!$B:$B,Changements!$A:$A,A57,Changements!$D:$D,B57))</f>
        <v>45</v>
      </c>
      <c r="O57" s="17">
        <f>IF(B57="",0,SUMIFS(Changements!$B:$B,Changements!$A:$A,A57,Changements!$C:$C,B57)+IF(L57&gt;M57,IFERROR(INDEX(Matchs!$F$4:$F$31,MATCH(A57,Matchs!$A$4:$A$31,0)),0),0))</f>
        <v>90</v>
      </c>
      <c r="P57" s="17">
        <f t="shared" si="3"/>
        <v>1</v>
      </c>
      <c r="Q57" s="17">
        <f t="shared" si="4"/>
        <v>0</v>
      </c>
    </row>
    <row r="58" spans="1:17" ht="15" customHeight="1" x14ac:dyDescent="0.25">
      <c r="A58" s="11">
        <f t="shared" si="0"/>
        <v>3</v>
      </c>
      <c r="B58" s="11" t="str">
        <f>INDEX('Effectif Saison'!$E$23:$E$42,7)</f>
        <v>Florian OPPERMANN</v>
      </c>
      <c r="C58" s="10" t="s">
        <v>195</v>
      </c>
      <c r="D58" s="10"/>
      <c r="E58" s="10" t="s">
        <v>195</v>
      </c>
      <c r="F58" s="19" t="str">
        <f>IF(B58="","",IF(AND(E58="Oui",COUNTIFS(Changements!$A:$A,A58,Changements!$D:$D,B58)&gt;0),"⚠ Titulaire+entrée ?",IF(ABS(L58-M58)&gt;1,"⚠ vérifier","")))</f>
        <v/>
      </c>
      <c r="G58" s="11" t="str">
        <f>IF(B58="","",IFERROR(INDEX('Effectif Saison'!$D$4:$D$51,MATCH(B58,'Effectif Saison'!$E$4:$E$51,0)),""))</f>
        <v>Équipe 2</v>
      </c>
      <c r="H58" s="19">
        <f>IF(L58=0,"",IF(E58="Oui",0,IFERROR(_xlfn.MINIFS(Changements!$B:$B,Changements!$A:$A,A58,Changements!$D:$D,B58),"")))</f>
        <v>0</v>
      </c>
      <c r="I58" s="19" t="str">
        <f>IF(M58=0,"",IFERROR(_xlfn.MAXIFS(Changements!$B:$B,Changements!$A:$A,A58,Changements!$C:$C,B58),""))</f>
        <v/>
      </c>
      <c r="J58" s="11">
        <f t="shared" si="1"/>
        <v>90</v>
      </c>
      <c r="K58" s="17">
        <f t="shared" si="2"/>
        <v>1</v>
      </c>
      <c r="L58" s="17">
        <f>IF(B58="",0,COUNTIFS(Changements!$A:$A,A58,Changements!$D:$D,B58)+IF(E58="Oui",1,0))</f>
        <v>1</v>
      </c>
      <c r="M58" s="17">
        <f>IF(B58="",0,COUNTIFS(Changements!$A:$A,A58,Changements!$C:$C,B58))</f>
        <v>0</v>
      </c>
      <c r="N58" s="17">
        <f>IF(B58="",0,SUMIFS(Changements!$B:$B,Changements!$A:$A,A58,Changements!$D:$D,B58))</f>
        <v>0</v>
      </c>
      <c r="O58" s="17">
        <f>IF(B58="",0,SUMIFS(Changements!$B:$B,Changements!$A:$A,A58,Changements!$C:$C,B58)+IF(L58&gt;M58,IFERROR(INDEX(Matchs!$F$4:$F$31,MATCH(A58,Matchs!$A$4:$A$31,0)),0),0))</f>
        <v>90</v>
      </c>
      <c r="P58" s="17">
        <f t="shared" si="3"/>
        <v>1</v>
      </c>
      <c r="Q58" s="17">
        <f t="shared" si="4"/>
        <v>1</v>
      </c>
    </row>
    <row r="59" spans="1:17" ht="15" customHeight="1" x14ac:dyDescent="0.25">
      <c r="A59" s="11">
        <f t="shared" si="0"/>
        <v>3</v>
      </c>
      <c r="B59" s="11" t="str">
        <f>INDEX('Effectif Saison'!$E$23:$E$42,8)</f>
        <v>Evan OBRECHT</v>
      </c>
      <c r="C59" s="10" t="s">
        <v>195</v>
      </c>
      <c r="D59" s="10"/>
      <c r="E59" s="10" t="s">
        <v>195</v>
      </c>
      <c r="F59" s="19" t="str">
        <f>IF(B59="","",IF(AND(E59="Oui",COUNTIFS(Changements!$A:$A,A59,Changements!$D:$D,B59)&gt;0),"⚠ Titulaire+entrée ?",IF(ABS(L59-M59)&gt;1,"⚠ vérifier","")))</f>
        <v/>
      </c>
      <c r="G59" s="11" t="str">
        <f>IF(B59="","",IFERROR(INDEX('Effectif Saison'!$D$4:$D$51,MATCH(B59,'Effectif Saison'!$E$4:$E$51,0)),""))</f>
        <v>Équipe 2</v>
      </c>
      <c r="H59" s="19">
        <f>IF(L59=0,"",IF(E59="Oui",0,IFERROR(_xlfn.MINIFS(Changements!$B:$B,Changements!$A:$A,A59,Changements!$D:$D,B59),"")))</f>
        <v>0</v>
      </c>
      <c r="I59" s="19">
        <f>IF(M59=0,"",IFERROR(_xlfn.MAXIFS(Changements!$B:$B,Changements!$A:$A,A59,Changements!$C:$C,B59),""))</f>
        <v>79</v>
      </c>
      <c r="J59" s="11">
        <f t="shared" si="1"/>
        <v>79</v>
      </c>
      <c r="K59" s="17">
        <f t="shared" si="2"/>
        <v>1</v>
      </c>
      <c r="L59" s="17">
        <f>IF(B59="",0,COUNTIFS(Changements!$A:$A,A59,Changements!$D:$D,B59)+IF(E59="Oui",1,0))</f>
        <v>1</v>
      </c>
      <c r="M59" s="17">
        <f>IF(B59="",0,COUNTIFS(Changements!$A:$A,A59,Changements!$C:$C,B59))</f>
        <v>1</v>
      </c>
      <c r="N59" s="17">
        <f>IF(B59="",0,SUMIFS(Changements!$B:$B,Changements!$A:$A,A59,Changements!$D:$D,B59))</f>
        <v>0</v>
      </c>
      <c r="O59" s="17">
        <f>IF(B59="",0,SUMIFS(Changements!$B:$B,Changements!$A:$A,A59,Changements!$C:$C,B59)+IF(L59&gt;M59,IFERROR(INDEX(Matchs!$F$4:$F$31,MATCH(A59,Matchs!$A$4:$A$31,0)),0),0))</f>
        <v>79</v>
      </c>
      <c r="P59" s="17">
        <f t="shared" si="3"/>
        <v>1</v>
      </c>
      <c r="Q59" s="17">
        <f t="shared" si="4"/>
        <v>1</v>
      </c>
    </row>
    <row r="60" spans="1:17" ht="15" customHeight="1" x14ac:dyDescent="0.25">
      <c r="A60" s="11">
        <f t="shared" si="0"/>
        <v>3</v>
      </c>
      <c r="B60" s="11" t="str">
        <f>INDEX('Effectif Saison'!$E$23:$E$42,9)</f>
        <v>Arthur GASS</v>
      </c>
      <c r="C60" s="10" t="s">
        <v>195</v>
      </c>
      <c r="D60" s="10"/>
      <c r="E60" s="10" t="s">
        <v>195</v>
      </c>
      <c r="F60" s="19" t="str">
        <f>IF(B60="","",IF(AND(E60="Oui",COUNTIFS(Changements!$A:$A,A60,Changements!$D:$D,B60)&gt;0),"⚠ Titulaire+entrée ?",IF(ABS(L60-M60)&gt;1,"⚠ vérifier","")))</f>
        <v/>
      </c>
      <c r="G60" s="11" t="str">
        <f>IF(B60="","",IFERROR(INDEX('Effectif Saison'!$D$4:$D$51,MATCH(B60,'Effectif Saison'!$E$4:$E$51,0)),""))</f>
        <v>Équipe 2</v>
      </c>
      <c r="H60" s="19">
        <f>IF(L60=0,"",IF(E60="Oui",0,IFERROR(_xlfn.MINIFS(Changements!$B:$B,Changements!$A:$A,A60,Changements!$D:$D,B60),"")))</f>
        <v>0</v>
      </c>
      <c r="I60" s="19" t="str">
        <f>IF(M60=0,"",IFERROR(_xlfn.MAXIFS(Changements!$B:$B,Changements!$A:$A,A60,Changements!$C:$C,B60),""))</f>
        <v/>
      </c>
      <c r="J60" s="11">
        <f t="shared" si="1"/>
        <v>90</v>
      </c>
      <c r="K60" s="17">
        <f t="shared" si="2"/>
        <v>1</v>
      </c>
      <c r="L60" s="17">
        <f>IF(B60="",0,COUNTIFS(Changements!$A:$A,A60,Changements!$D:$D,B60)+IF(E60="Oui",1,0))</f>
        <v>1</v>
      </c>
      <c r="M60" s="17">
        <f>IF(B60="",0,COUNTIFS(Changements!$A:$A,A60,Changements!$C:$C,B60))</f>
        <v>0</v>
      </c>
      <c r="N60" s="17">
        <f>IF(B60="",0,SUMIFS(Changements!$B:$B,Changements!$A:$A,A60,Changements!$D:$D,B60))</f>
        <v>0</v>
      </c>
      <c r="O60" s="17">
        <f>IF(B60="",0,SUMIFS(Changements!$B:$B,Changements!$A:$A,A60,Changements!$C:$C,B60)+IF(L60&gt;M60,IFERROR(INDEX(Matchs!$F$4:$F$31,MATCH(A60,Matchs!$A$4:$A$31,0)),0),0))</f>
        <v>90</v>
      </c>
      <c r="P60" s="17">
        <f t="shared" si="3"/>
        <v>1</v>
      </c>
      <c r="Q60" s="17">
        <f t="shared" si="4"/>
        <v>1</v>
      </c>
    </row>
    <row r="61" spans="1:17" ht="15" customHeight="1" x14ac:dyDescent="0.25">
      <c r="A61" s="11">
        <f t="shared" si="0"/>
        <v>3</v>
      </c>
      <c r="B61" s="11" t="str">
        <f>INDEX('Effectif Saison'!$E$23:$E$42,10)</f>
        <v>Alex TROESTER</v>
      </c>
      <c r="C61" s="10" t="s">
        <v>195</v>
      </c>
      <c r="D61" s="10"/>
      <c r="E61" s="10" t="s">
        <v>195</v>
      </c>
      <c r="F61" s="19" t="str">
        <f>IF(B61="","",IF(AND(E61="Oui",COUNTIFS(Changements!$A:$A,A61,Changements!$D:$D,B61)&gt;0),"⚠ Titulaire+entrée ?",IF(ABS(L61-M61)&gt;1,"⚠ vérifier","")))</f>
        <v>⚠ Titulaire+entrée ?</v>
      </c>
      <c r="G61" s="11" t="str">
        <f>IF(B61="","",IFERROR(INDEX('Effectif Saison'!$D$4:$D$51,MATCH(B61,'Effectif Saison'!$E$4:$E$51,0)),""))</f>
        <v>Équipe 2</v>
      </c>
      <c r="H61" s="19">
        <f>IF(L61=0,"",IF(E61="Oui",0,IFERROR(_xlfn.MINIFS(Changements!$B:$B,Changements!$A:$A,A61,Changements!$D:$D,B61),"")))</f>
        <v>0</v>
      </c>
      <c r="I61" s="19">
        <f>IF(M61=0,"",IFERROR(_xlfn.MAXIFS(Changements!$B:$B,Changements!$A:$A,A61,Changements!$C:$C,B61),""))</f>
        <v>45</v>
      </c>
      <c r="J61" s="11">
        <f t="shared" si="1"/>
        <v>56</v>
      </c>
      <c r="K61" s="17">
        <f t="shared" si="2"/>
        <v>1</v>
      </c>
      <c r="L61" s="17">
        <f>IF(B61="",0,COUNTIFS(Changements!$A:$A,A61,Changements!$D:$D,B61)+IF(E61="Oui",1,0))</f>
        <v>2</v>
      </c>
      <c r="M61" s="17">
        <f>IF(B61="",0,COUNTIFS(Changements!$A:$A,A61,Changements!$C:$C,B61))</f>
        <v>1</v>
      </c>
      <c r="N61" s="17">
        <f>IF(B61="",0,SUMIFS(Changements!$B:$B,Changements!$A:$A,A61,Changements!$D:$D,B61))</f>
        <v>79</v>
      </c>
      <c r="O61" s="17">
        <f>IF(B61="",0,SUMIFS(Changements!$B:$B,Changements!$A:$A,A61,Changements!$C:$C,B61)+IF(L61&gt;M61,IFERROR(INDEX(Matchs!$F$4:$F$31,MATCH(A61,Matchs!$A$4:$A$31,0)),0),0))</f>
        <v>135</v>
      </c>
      <c r="P61" s="17">
        <f t="shared" si="3"/>
        <v>1</v>
      </c>
      <c r="Q61" s="17">
        <f t="shared" si="4"/>
        <v>1</v>
      </c>
    </row>
    <row r="62" spans="1:17" ht="15" customHeight="1" x14ac:dyDescent="0.25">
      <c r="A62" s="11">
        <f t="shared" si="0"/>
        <v>3</v>
      </c>
      <c r="B62" s="11" t="str">
        <f>INDEX('Effectif Saison'!$E$23:$E$42,11)</f>
        <v>Tristan MEYER</v>
      </c>
      <c r="C62" s="10" t="s">
        <v>195</v>
      </c>
      <c r="D62" s="10"/>
      <c r="E62" s="10" t="s">
        <v>195</v>
      </c>
      <c r="F62" s="19" t="str">
        <f>IF(B62="","",IF(AND(E62="Oui",COUNTIFS(Changements!$A:$A,A62,Changements!$D:$D,B62)&gt;0),"⚠ Titulaire+entrée ?",IF(ABS(L62-M62)&gt;1,"⚠ vérifier","")))</f>
        <v/>
      </c>
      <c r="G62" s="11" t="str">
        <f>IF(B62="","",IFERROR(INDEX('Effectif Saison'!$D$4:$D$51,MATCH(B62,'Effectif Saison'!$E$4:$E$51,0)),""))</f>
        <v>Équipe 2</v>
      </c>
      <c r="H62" s="19">
        <f>IF(L62=0,"",IF(E62="Oui",0,IFERROR(_xlfn.MINIFS(Changements!$B:$B,Changements!$A:$A,A62,Changements!$D:$D,B62),"")))</f>
        <v>0</v>
      </c>
      <c r="I62" s="19" t="str">
        <f>IF(M62=0,"",IFERROR(_xlfn.MAXIFS(Changements!$B:$B,Changements!$A:$A,A62,Changements!$C:$C,B62),""))</f>
        <v/>
      </c>
      <c r="J62" s="11">
        <f t="shared" si="1"/>
        <v>90</v>
      </c>
      <c r="K62" s="17">
        <f t="shared" si="2"/>
        <v>1</v>
      </c>
      <c r="L62" s="17">
        <f>IF(B62="",0,COUNTIFS(Changements!$A:$A,A62,Changements!$D:$D,B62)+IF(E62="Oui",1,0))</f>
        <v>1</v>
      </c>
      <c r="M62" s="17">
        <f>IF(B62="",0,COUNTIFS(Changements!$A:$A,A62,Changements!$C:$C,B62))</f>
        <v>0</v>
      </c>
      <c r="N62" s="17">
        <f>IF(B62="",0,SUMIFS(Changements!$B:$B,Changements!$A:$A,A62,Changements!$D:$D,B62))</f>
        <v>0</v>
      </c>
      <c r="O62" s="17">
        <f>IF(B62="",0,SUMIFS(Changements!$B:$B,Changements!$A:$A,A62,Changements!$C:$C,B62)+IF(L62&gt;M62,IFERROR(INDEX(Matchs!$F$4:$F$31,MATCH(A62,Matchs!$A$4:$A$31,0)),0),0))</f>
        <v>90</v>
      </c>
      <c r="P62" s="17">
        <f t="shared" si="3"/>
        <v>1</v>
      </c>
      <c r="Q62" s="17">
        <f t="shared" si="4"/>
        <v>1</v>
      </c>
    </row>
    <row r="63" spans="1:17" ht="15" customHeight="1" x14ac:dyDescent="0.25">
      <c r="A63" s="11">
        <f t="shared" si="0"/>
        <v>3</v>
      </c>
      <c r="B63" s="11" t="str">
        <f>INDEX('Effectif Saison'!$E$23:$E$42,12)</f>
        <v>Noam AHAMADA</v>
      </c>
      <c r="C63" s="10" t="s">
        <v>194</v>
      </c>
      <c r="D63" s="10" t="s">
        <v>226</v>
      </c>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t="s">
        <v>194</v>
      </c>
      <c r="D64" s="10" t="s">
        <v>226</v>
      </c>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t="s">
        <v>195</v>
      </c>
      <c r="D65" s="10"/>
      <c r="E65" s="10" t="s">
        <v>195</v>
      </c>
      <c r="F65" s="19" t="str">
        <f>IF(B65="","",IF(AND(E65="Oui",COUNTIFS(Changements!$A:$A,A65,Changements!$D:$D,B65)&gt;0),"⚠ Titulaire+entrée ?",IF(ABS(L65-M65)&gt;1,"⚠ vérifier","")))</f>
        <v/>
      </c>
      <c r="G65" s="11" t="str">
        <f>IF(B65="","",IFERROR(INDEX('Effectif Saison'!$D$4:$D$51,MATCH(B65,'Effectif Saison'!$E$4:$E$51,0)),""))</f>
        <v>Équipe 2</v>
      </c>
      <c r="H65" s="19">
        <f>IF(L65=0,"",IF(E65="Oui",0,IFERROR(_xlfn.MINIFS(Changements!$B:$B,Changements!$A:$A,A65,Changements!$D:$D,B65),"")))</f>
        <v>0</v>
      </c>
      <c r="I65" s="19" t="str">
        <f>IF(M65=0,"",IFERROR(_xlfn.MAXIFS(Changements!$B:$B,Changements!$A:$A,A65,Changements!$C:$C,B65),""))</f>
        <v/>
      </c>
      <c r="J65" s="11">
        <f t="shared" si="1"/>
        <v>90</v>
      </c>
      <c r="K65" s="17">
        <f t="shared" si="2"/>
        <v>1</v>
      </c>
      <c r="L65" s="17">
        <f>IF(B65="",0,COUNTIFS(Changements!$A:$A,A65,Changements!$D:$D,B65)+IF(E65="Oui",1,0))</f>
        <v>1</v>
      </c>
      <c r="M65" s="17">
        <f>IF(B65="",0,COUNTIFS(Changements!$A:$A,A65,Changements!$C:$C,B65))</f>
        <v>0</v>
      </c>
      <c r="N65" s="17">
        <f>IF(B65="",0,SUMIFS(Changements!$B:$B,Changements!$A:$A,A65,Changements!$D:$D,B65))</f>
        <v>0</v>
      </c>
      <c r="O65" s="17">
        <f>IF(B65="",0,SUMIFS(Changements!$B:$B,Changements!$A:$A,A65,Changements!$C:$C,B65)+IF(L65&gt;M65,IFERROR(INDEX(Matchs!$F$4:$F$31,MATCH(A65,Matchs!$A$4:$A$31,0)),0),0))</f>
        <v>90</v>
      </c>
      <c r="P65" s="17">
        <f t="shared" si="3"/>
        <v>1</v>
      </c>
      <c r="Q65" s="17">
        <f t="shared" si="4"/>
        <v>1</v>
      </c>
    </row>
    <row r="66" spans="1:17" ht="15" customHeight="1" x14ac:dyDescent="0.25">
      <c r="A66" s="11">
        <f t="shared" si="0"/>
        <v>3</v>
      </c>
      <c r="B66" s="11" t="str">
        <f>INDEX('Effectif Saison'!$E$23:$E$42,15)</f>
        <v>Maxime WOLF</v>
      </c>
      <c r="C66" s="10" t="s">
        <v>194</v>
      </c>
      <c r="D66" s="10" t="s">
        <v>226</v>
      </c>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t="s">
        <v>195</v>
      </c>
      <c r="D67" s="10"/>
      <c r="E67" s="10" t="s">
        <v>194</v>
      </c>
      <c r="F67" s="19" t="str">
        <f>IF(B67="","",IF(AND(E67="Oui",COUNTIFS(Changements!$A:$A,A67,Changements!$D:$D,B67)&gt;0),"⚠ Titulaire+entrée ?",IF(ABS(L67-M67)&gt;1,"⚠ vérifier","")))</f>
        <v/>
      </c>
      <c r="G67" s="11" t="str">
        <f>IF(B67="","",IFERROR(INDEX('Effectif Saison'!$D$4:$D$51,MATCH(B67,'Effectif Saison'!$E$4:$E$51,0)),""))</f>
        <v>Équipe 2</v>
      </c>
      <c r="H67" s="19">
        <f>IF(L67=0,"",IF(E67="Oui",0,IFERROR(_xlfn.MINIFS(Changements!$B:$B,Changements!$A:$A,A67,Changements!$D:$D,B67),"")))</f>
        <v>71</v>
      </c>
      <c r="I67" s="19" t="str">
        <f>IF(M67=0,"",IFERROR(_xlfn.MAXIFS(Changements!$B:$B,Changements!$A:$A,A67,Changements!$C:$C,B67),""))</f>
        <v/>
      </c>
      <c r="J67" s="11">
        <f t="shared" si="1"/>
        <v>19</v>
      </c>
      <c r="K67" s="17">
        <f t="shared" si="2"/>
        <v>1</v>
      </c>
      <c r="L67" s="17">
        <f>IF(B67="",0,COUNTIFS(Changements!$A:$A,A67,Changements!$D:$D,B67)+IF(E67="Oui",1,0))</f>
        <v>1</v>
      </c>
      <c r="M67" s="17">
        <f>IF(B67="",0,COUNTIFS(Changements!$A:$A,A67,Changements!$C:$C,B67))</f>
        <v>0</v>
      </c>
      <c r="N67" s="17">
        <f>IF(B67="",0,SUMIFS(Changements!$B:$B,Changements!$A:$A,A67,Changements!$D:$D,B67))</f>
        <v>71</v>
      </c>
      <c r="O67" s="17">
        <f>IF(B67="",0,SUMIFS(Changements!$B:$B,Changements!$A:$A,A67,Changements!$C:$C,B67)+IF(L67&gt;M67,IFERROR(INDEX(Matchs!$F$4:$F$31,MATCH(A67,Matchs!$A$4:$A$31,0)),0),0))</f>
        <v>90</v>
      </c>
      <c r="P67" s="17">
        <f t="shared" si="3"/>
        <v>1</v>
      </c>
      <c r="Q67" s="17">
        <f t="shared" si="4"/>
        <v>0</v>
      </c>
    </row>
    <row r="68" spans="1:17" ht="15" customHeight="1" x14ac:dyDescent="0.25">
      <c r="A68" s="11">
        <f t="shared" ref="A68:A131" si="5">INT((ROW()-4)/24)+1</f>
        <v>3</v>
      </c>
      <c r="B68" s="11" t="str">
        <f>INDEX('Effectif Saison'!$E$23:$E$42,17)</f>
        <v>Nathéo KLEIN</v>
      </c>
      <c r="C68" s="10" t="s">
        <v>194</v>
      </c>
      <c r="D68" s="10" t="s">
        <v>227</v>
      </c>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t="s">
        <v>194</v>
      </c>
      <c r="D69" s="10" t="s">
        <v>196</v>
      </c>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t="s">
        <v>194</v>
      </c>
      <c r="D70" s="10" t="s">
        <v>196</v>
      </c>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t="s">
        <v>198</v>
      </c>
      <c r="C71" s="10" t="s">
        <v>195</v>
      </c>
      <c r="D71" s="10"/>
      <c r="E71" s="10" t="s">
        <v>195</v>
      </c>
      <c r="F71" s="19" t="str">
        <f>IF(B71="","",IF(AND(E71="Oui",COUNTIFS(Changements!$A:$A,A71,Changements!$D:$D,B71)&gt;0),"⚠ Titulaire+entrée ?",IF(ABS(L71-M71)&gt;1,"⚠ vérifier","")))</f>
        <v>⚠ Titulaire+entrée ?</v>
      </c>
      <c r="G71" s="11" t="str">
        <f>IF(B71="","",IFERROR(INDEX('Effectif Saison'!$D$4:$D$51,MATCH(B71,'Effectif Saison'!$E$4:$E$51,0)),""))</f>
        <v>Équipe 1</v>
      </c>
      <c r="H71" s="19">
        <f>IF(L71=0,"",IF(E71="Oui",0,IFERROR(_xlfn.MINIFS(Changements!$B:$B,Changements!$A:$A,A71,Changements!$D:$D,B71),"")))</f>
        <v>0</v>
      </c>
      <c r="I71" s="19">
        <f>IF(M71=0,"",IFERROR(_xlfn.MAXIFS(Changements!$B:$B,Changements!$A:$A,A71,Changements!$C:$C,B71),""))</f>
        <v>71</v>
      </c>
      <c r="J71" s="11">
        <f t="shared" si="6"/>
        <v>67</v>
      </c>
      <c r="K71" s="17">
        <f t="shared" si="7"/>
        <v>1</v>
      </c>
      <c r="L71" s="17">
        <f>IF(B71="",0,COUNTIFS(Changements!$A:$A,A71,Changements!$D:$D,B71)+IF(E71="Oui",1,0))</f>
        <v>2</v>
      </c>
      <c r="M71" s="17">
        <f>IF(B71="",0,COUNTIFS(Changements!$A:$A,A71,Changements!$C:$C,B71))</f>
        <v>2</v>
      </c>
      <c r="N71" s="17">
        <f>IF(B71="",0,SUMIFS(Changements!$B:$B,Changements!$A:$A,A71,Changements!$D:$D,B71))</f>
        <v>49</v>
      </c>
      <c r="O71" s="17">
        <f>IF(B71="",0,SUMIFS(Changements!$B:$B,Changements!$A:$A,A71,Changements!$C:$C,B71)+IF(L71&gt;M71,IFERROR(INDEX(Matchs!$F$4:$F$31,MATCH(A71,Matchs!$A$4:$A$31,0)),0),0))</f>
        <v>116</v>
      </c>
      <c r="P71" s="17">
        <f t="shared" si="8"/>
        <v>1</v>
      </c>
      <c r="Q71" s="17">
        <f t="shared" si="9"/>
        <v>1</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f>IF(L75=0,"",IF(E75="Oui",0,IFERROR(_xlfn.MINIFS(Changements!$B:$B,Changements!$A:$A,A75,Changements!$D:$D,B75),"")))</f>
        <v>45</v>
      </c>
      <c r="I75" s="19">
        <f>IF(M75=0,"",IFERROR(_xlfn.MAXIFS(Changements!$B:$B,Changements!$A:$A,A75,Changements!$C:$C,B75),""))</f>
        <v>49</v>
      </c>
      <c r="J75" s="11" t="str">
        <f t="shared" si="6"/>
        <v/>
      </c>
      <c r="K75" s="17">
        <f t="shared" si="7"/>
        <v>0</v>
      </c>
      <c r="L75" s="17">
        <f>IF(B75="",0,COUNTIFS(Changements!$A:$A,A75,Changements!$D:$D,B75)+IF(E75="Oui",1,0))</f>
        <v>1</v>
      </c>
      <c r="M75" s="17">
        <f>IF(B75="",0,COUNTIFS(Changements!$A:$A,A75,Changements!$C:$C,B75))</f>
        <v>1</v>
      </c>
      <c r="N75" s="17">
        <f>IF(B75="",0,SUMIFS(Changements!$B:$B,Changements!$A:$A,A75,Changements!$D:$D,B75))</f>
        <v>45</v>
      </c>
      <c r="O75" s="17">
        <f>IF(B75="",0,SUMIFS(Changements!$B:$B,Changements!$A:$A,A75,Changements!$C:$C,B75)+IF(L75&gt;M75,IFERROR(INDEX(Matchs!$F$4:$F$31,MATCH(A75,Matchs!$A$4:$A$31,0)),0),0))</f>
        <v>49</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2" t="s">
        <v>200</v>
      </c>
      <c r="B1" s="22"/>
      <c r="C1" s="22"/>
      <c r="D1" s="22"/>
      <c r="E1" s="22"/>
      <c r="F1" s="22"/>
      <c r="G1" s="22"/>
      <c r="H1" s="22"/>
      <c r="I1" s="22"/>
      <c r="J1" s="22"/>
      <c r="K1" s="22"/>
      <c r="Y1" s="3" t="s">
        <v>201</v>
      </c>
    </row>
    <row r="2" spans="1:25" ht="15" customHeight="1" x14ac:dyDescent="0.25">
      <c r="A2" s="23" t="s">
        <v>202</v>
      </c>
      <c r="B2" s="23"/>
      <c r="C2" s="23"/>
      <c r="D2" s="23"/>
      <c r="E2" s="23"/>
      <c r="F2" s="23"/>
      <c r="G2" s="23"/>
      <c r="H2" s="23"/>
      <c r="I2" s="23"/>
      <c r="J2" s="23"/>
      <c r="K2" s="23"/>
      <c r="Y2" s="5">
        <f>COUNTIFS(Matchs!$B$4:$B$31,"&lt;&gt;")</f>
        <v>3</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0.33333333333333331</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150</v>
      </c>
      <c r="L13" s="5">
        <f>IF($A13="","",SUMIFS('Convocations &amp; Temps de jeu'!$P$4:$P$675,'Convocations &amp; Temps de jeu'!$B$4:$B$675,$A13))</f>
        <v>2</v>
      </c>
      <c r="M13" s="5">
        <f>IF($A13="","",SUMIFS('Convocations &amp; Temps de jeu'!$Q$4:$Q$675,'Convocations &amp; Temps de jeu'!$B$4:$B$675,$A13))</f>
        <v>2</v>
      </c>
      <c r="N13" s="16">
        <f t="shared" si="0"/>
        <v>0.66666666666666663</v>
      </c>
      <c r="O13" s="16">
        <f t="shared" si="1"/>
        <v>1</v>
      </c>
      <c r="P13" s="20">
        <f t="shared" si="2"/>
        <v>75</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0.33333333333333331</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0.66666666666666663</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0.33333333333333331</v>
      </c>
      <c r="O24" s="16">
        <f t="shared" si="1"/>
        <v>0</v>
      </c>
      <c r="P24" s="20">
        <f t="shared" si="2"/>
        <v>26</v>
      </c>
      <c r="Q24" s="5">
        <f>IF($A24="","",COUNTIFS('Convocations &amp; Temps de jeu'!$B$4:$B$675,$A24,'Convocations &amp; Temps de jeu'!$D$4:$D$675,"Non retenu"))</f>
        <v>2</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3</v>
      </c>
      <c r="D25" s="11">
        <f>IF(A25="","",COUNTIF(Buts!$C$4:$C$151,A25))</f>
        <v>0</v>
      </c>
      <c r="E25" s="11">
        <f>IF(A25="","",COUNTIFS(Buts!$C$4:$C$151,A25,Buts!$F$4:$F$151,"Tête"))</f>
        <v>0</v>
      </c>
      <c r="F25" s="11">
        <f>IF(A25="","",COUNTIFS(Buts!$C$4:$C$151,A25,Buts!$F$4:$F$151,"Penalty"))</f>
        <v>0</v>
      </c>
      <c r="G25" s="11">
        <f>IF(A25="","",COUNTIFS(Buts!$C$4:$C$151,A25,Buts!$F$4:$F$151,"Coup franc"))</f>
        <v>0</v>
      </c>
      <c r="H25" s="11">
        <f>IF(A25="","",COUNTIF(Buts!$D$4:$D$151,A25))</f>
        <v>1</v>
      </c>
      <c r="I25" s="11">
        <f>IF(A25="","",COUNTIFS(Cartons!$C$4:$C$121,A25,Cartons!$E$4:$E$121,"Jaune"))</f>
        <v>0</v>
      </c>
      <c r="J25" s="11">
        <f>IF(A25="","",COUNTIFS(Cartons!$C$4:$C$121,A25,Cartons!$E$4:$E$121,"Rouge"))</f>
        <v>0</v>
      </c>
      <c r="K25" s="11">
        <f>IF(A25="","",SUMIFS('Convocations &amp; Temps de jeu'!$J$4:$J$675,'Convocations &amp; Temps de jeu'!$B$4:$B$675,A25))</f>
        <v>240</v>
      </c>
      <c r="L25" s="5">
        <f>IF($A25="","",SUMIFS('Convocations &amp; Temps de jeu'!$P$4:$P$675,'Convocations &amp; Temps de jeu'!$B$4:$B$675,$A25))</f>
        <v>3</v>
      </c>
      <c r="M25" s="5">
        <f>IF($A25="","",SUMIFS('Convocations &amp; Temps de jeu'!$Q$4:$Q$675,'Convocations &amp; Temps de jeu'!$B$4:$B$675,$A25))</f>
        <v>2</v>
      </c>
      <c r="N25" s="16">
        <f t="shared" si="0"/>
        <v>1</v>
      </c>
      <c r="O25" s="16">
        <f t="shared" si="1"/>
        <v>0.66666666666666663</v>
      </c>
      <c r="P25" s="20">
        <f t="shared" si="2"/>
        <v>80</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3</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1</v>
      </c>
      <c r="J26" s="11">
        <f>IF(A26="","",COUNTIFS(Cartons!$C$4:$C$121,A26,Cartons!$E$4:$E$121,"Rouge"))</f>
        <v>0</v>
      </c>
      <c r="K26" s="11">
        <f>IF(A26="","",SUMIFS('Convocations &amp; Temps de jeu'!$J$4:$J$675,'Convocations &amp; Temps de jeu'!$B$4:$B$675,A26))</f>
        <v>237</v>
      </c>
      <c r="L26" s="5">
        <f>IF($A26="","",SUMIFS('Convocations &amp; Temps de jeu'!$P$4:$P$675,'Convocations &amp; Temps de jeu'!$B$4:$B$675,$A26))</f>
        <v>3</v>
      </c>
      <c r="M26" s="5">
        <f>IF($A26="","",SUMIFS('Convocations &amp; Temps de jeu'!$Q$4:$Q$675,'Convocations &amp; Temps de jeu'!$B$4:$B$675,$A26))</f>
        <v>2</v>
      </c>
      <c r="N26" s="16">
        <f t="shared" si="0"/>
        <v>1</v>
      </c>
      <c r="O26" s="16">
        <f t="shared" si="1"/>
        <v>0.66666666666666663</v>
      </c>
      <c r="P26" s="20">
        <f t="shared" si="2"/>
        <v>79</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3</v>
      </c>
      <c r="D27" s="11">
        <f>IF(A27="","",COUNTIF(Buts!$C$4:$C$151,A27))</f>
        <v>1</v>
      </c>
      <c r="E27" s="11">
        <f>IF(A27="","",COUNTIFS(Buts!$C$4:$C$151,A27,Buts!$F$4:$F$151,"Tête"))</f>
        <v>0</v>
      </c>
      <c r="F27" s="11">
        <f>IF(A27="","",COUNTIFS(Buts!$C$4:$C$151,A27,Buts!$F$4:$F$151,"Penalty"))</f>
        <v>0</v>
      </c>
      <c r="G27" s="11">
        <f>IF(A27="","",COUNTIFS(Buts!$C$4:$C$151,A27,Buts!$F$4:$F$151,"Coup franc"))</f>
        <v>0</v>
      </c>
      <c r="H27" s="11">
        <f>IF(A27="","",COUNTIF(Buts!$D$4:$D$151,A27))</f>
        <v>1</v>
      </c>
      <c r="I27" s="11">
        <f>IF(A27="","",COUNTIFS(Cartons!$C$4:$C$121,A27,Cartons!$E$4:$E$121,"Jaune"))</f>
        <v>1</v>
      </c>
      <c r="J27" s="11">
        <f>IF(A27="","",COUNTIFS(Cartons!$C$4:$C$121,A27,Cartons!$E$4:$E$121,"Rouge"))</f>
        <v>0</v>
      </c>
      <c r="K27" s="11">
        <f>IF(A27="","",SUMIFS('Convocations &amp; Temps de jeu'!$J$4:$J$675,'Convocations &amp; Temps de jeu'!$B$4:$B$675,A27))</f>
        <v>254</v>
      </c>
      <c r="L27" s="5">
        <f>IF($A27="","",SUMIFS('Convocations &amp; Temps de jeu'!$P$4:$P$675,'Convocations &amp; Temps de jeu'!$B$4:$B$675,$A27))</f>
        <v>3</v>
      </c>
      <c r="M27" s="5">
        <f>IF($A27="","",SUMIFS('Convocations &amp; Temps de jeu'!$Q$4:$Q$675,'Convocations &amp; Temps de jeu'!$B$4:$B$675,$A27))</f>
        <v>3</v>
      </c>
      <c r="N27" s="16">
        <f t="shared" si="0"/>
        <v>1</v>
      </c>
      <c r="O27" s="16">
        <f t="shared" si="1"/>
        <v>1</v>
      </c>
      <c r="P27" s="20">
        <f t="shared" si="2"/>
        <v>84.666666666666671</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2</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1</v>
      </c>
      <c r="J28" s="11">
        <f>IF(A28="","",COUNTIFS(Cartons!$C$4:$C$121,A28,Cartons!$E$4:$E$121,"Rouge"))</f>
        <v>0</v>
      </c>
      <c r="K28" s="11">
        <f>IF(A28="","",SUMIFS('Convocations &amp; Temps de jeu'!$J$4:$J$675,'Convocations &amp; Temps de jeu'!$B$4:$B$675,A28))</f>
        <v>180</v>
      </c>
      <c r="L28" s="5">
        <f>IF($A28="","",SUMIFS('Convocations &amp; Temps de jeu'!$P$4:$P$675,'Convocations &amp; Temps de jeu'!$B$4:$B$675,$A28))</f>
        <v>2</v>
      </c>
      <c r="M28" s="5">
        <f>IF($A28="","",SUMIFS('Convocations &amp; Temps de jeu'!$Q$4:$Q$675,'Convocations &amp; Temps de jeu'!$B$4:$B$675,$A28))</f>
        <v>2</v>
      </c>
      <c r="N28" s="16">
        <f t="shared" si="0"/>
        <v>0.66666666666666663</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2</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93</v>
      </c>
      <c r="L29" s="5">
        <f>IF($A29="","",SUMIFS('Convocations &amp; Temps de jeu'!$P$4:$P$675,'Convocations &amp; Temps de jeu'!$B$4:$B$675,$A29))</f>
        <v>2</v>
      </c>
      <c r="M29" s="5">
        <f>IF($A29="","",SUMIFS('Convocations &amp; Temps de jeu'!$Q$4:$Q$675,'Convocations &amp; Temps de jeu'!$B$4:$B$675,$A29))</f>
        <v>0</v>
      </c>
      <c r="N29" s="16">
        <f t="shared" si="0"/>
        <v>0.66666666666666663</v>
      </c>
      <c r="O29" s="16">
        <f t="shared" si="1"/>
        <v>0</v>
      </c>
      <c r="P29" s="20">
        <f t="shared" si="2"/>
        <v>46.5</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3</v>
      </c>
      <c r="D30" s="11">
        <f>IF(A30="","",COUNTIF(Buts!$C$4:$C$151,A30))</f>
        <v>2</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196</v>
      </c>
      <c r="L30" s="5">
        <f>IF($A30="","",SUMIFS('Convocations &amp; Temps de jeu'!$P$4:$P$675,'Convocations &amp; Temps de jeu'!$B$4:$B$675,$A30))</f>
        <v>3</v>
      </c>
      <c r="M30" s="5">
        <f>IF($A30="","",SUMIFS('Convocations &amp; Temps de jeu'!$Q$4:$Q$675,'Convocations &amp; Temps de jeu'!$B$4:$B$675,$A30))</f>
        <v>3</v>
      </c>
      <c r="N30" s="16">
        <f t="shared" si="0"/>
        <v>1</v>
      </c>
      <c r="O30" s="16">
        <f t="shared" si="1"/>
        <v>1</v>
      </c>
      <c r="P30" s="20">
        <f t="shared" si="2"/>
        <v>65.333333333333329</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3</v>
      </c>
      <c r="D31" s="11">
        <f>IF(A31="","",COUNTIF(Buts!$C$4:$C$151,A31))</f>
        <v>2</v>
      </c>
      <c r="E31" s="11">
        <f>IF(A31="","",COUNTIFS(Buts!$C$4:$C$151,A31,Buts!$F$4:$F$151,"Tête"))</f>
        <v>0</v>
      </c>
      <c r="F31" s="11">
        <f>IF(A31="","",COUNTIFS(Buts!$C$4:$C$151,A31,Buts!$F$4:$F$151,"Penalty"))</f>
        <v>1</v>
      </c>
      <c r="G31" s="11">
        <f>IF(A31="","",COUNTIFS(Buts!$C$4:$C$151,A31,Buts!$F$4:$F$151,"Coup franc"))</f>
        <v>0</v>
      </c>
      <c r="H31" s="11">
        <f>IF(A31="","",COUNTIF(Buts!$D$4:$D$151,A31))</f>
        <v>4</v>
      </c>
      <c r="I31" s="11">
        <f>IF(A31="","",COUNTIFS(Cartons!$C$4:$C$121,A31,Cartons!$E$4:$E$121,"Jaune"))</f>
        <v>0</v>
      </c>
      <c r="J31" s="11">
        <f>IF(A31="","",COUNTIFS(Cartons!$C$4:$C$121,A31,Cartons!$E$4:$E$121,"Rouge"))</f>
        <v>0</v>
      </c>
      <c r="K31" s="11">
        <f>IF(A31="","",SUMIFS('Convocations &amp; Temps de jeu'!$J$4:$J$675,'Convocations &amp; Temps de jeu'!$B$4:$B$675,A31))</f>
        <v>259</v>
      </c>
      <c r="L31" s="5">
        <f>IF($A31="","",SUMIFS('Convocations &amp; Temps de jeu'!$P$4:$P$675,'Convocations &amp; Temps de jeu'!$B$4:$B$675,$A31))</f>
        <v>3</v>
      </c>
      <c r="M31" s="5">
        <f>IF($A31="","",SUMIFS('Convocations &amp; Temps de jeu'!$Q$4:$Q$675,'Convocations &amp; Temps de jeu'!$B$4:$B$675,$A31))</f>
        <v>3</v>
      </c>
      <c r="N31" s="16">
        <f t="shared" si="0"/>
        <v>1</v>
      </c>
      <c r="O31" s="16">
        <f t="shared" si="1"/>
        <v>1</v>
      </c>
      <c r="P31" s="20">
        <f t="shared" si="2"/>
        <v>86.333333333333329</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3</v>
      </c>
      <c r="D32" s="11">
        <f>IF(A32="","",COUNTIF(Buts!$C$4:$C$151,A32))</f>
        <v>4</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1</v>
      </c>
      <c r="J32" s="11">
        <f>IF(A32="","",COUNTIFS(Cartons!$C$4:$C$121,A32,Cartons!$E$4:$E$121,"Rouge"))</f>
        <v>0</v>
      </c>
      <c r="K32" s="11">
        <f>IF(A32="","",SUMIFS('Convocations &amp; Temps de jeu'!$J$4:$J$675,'Convocations &amp; Temps de jeu'!$B$4:$B$675,A32))</f>
        <v>244</v>
      </c>
      <c r="L32" s="5">
        <f>IF($A32="","",SUMIFS('Convocations &amp; Temps de jeu'!$P$4:$P$675,'Convocations &amp; Temps de jeu'!$B$4:$B$675,$A32))</f>
        <v>3</v>
      </c>
      <c r="M32" s="5">
        <f>IF($A32="","",SUMIFS('Convocations &amp; Temps de jeu'!$Q$4:$Q$675,'Convocations &amp; Temps de jeu'!$B$4:$B$675,$A32))</f>
        <v>3</v>
      </c>
      <c r="N32" s="16">
        <f t="shared" si="0"/>
        <v>1</v>
      </c>
      <c r="O32" s="16">
        <f t="shared" si="1"/>
        <v>1</v>
      </c>
      <c r="P32" s="20">
        <f t="shared" si="2"/>
        <v>81.333333333333329</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3</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230</v>
      </c>
      <c r="L33" s="5">
        <f>IF($A33="","",SUMIFS('Convocations &amp; Temps de jeu'!$P$4:$P$675,'Convocations &amp; Temps de jeu'!$B$4:$B$675,$A33))</f>
        <v>3</v>
      </c>
      <c r="M33" s="5">
        <f>IF($A33="","",SUMIFS('Convocations &amp; Temps de jeu'!$Q$4:$Q$675,'Convocations &amp; Temps de jeu'!$B$4:$B$675,$A33))</f>
        <v>3</v>
      </c>
      <c r="N33" s="16">
        <f t="shared" si="0"/>
        <v>1</v>
      </c>
      <c r="O33" s="16">
        <f t="shared" si="1"/>
        <v>1</v>
      </c>
      <c r="P33" s="20">
        <f t="shared" si="2"/>
        <v>76.666666666666671</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3</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255</v>
      </c>
      <c r="L34" s="5">
        <f>IF($A34="","",SUMIFS('Convocations &amp; Temps de jeu'!$P$4:$P$675,'Convocations &amp; Temps de jeu'!$B$4:$B$675,$A34))</f>
        <v>3</v>
      </c>
      <c r="M34" s="5">
        <f>IF($A34="","",SUMIFS('Convocations &amp; Temps de jeu'!$Q$4:$Q$675,'Convocations &amp; Temps de jeu'!$B$4:$B$675,$A34))</f>
        <v>3</v>
      </c>
      <c r="N34" s="16">
        <f t="shared" si="0"/>
        <v>1</v>
      </c>
      <c r="O34" s="16">
        <f t="shared" si="1"/>
        <v>1</v>
      </c>
      <c r="P34" s="20">
        <f t="shared" si="2"/>
        <v>85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0.66666666666666663</v>
      </c>
      <c r="O35" s="16">
        <f t="shared" si="1"/>
        <v>0.5</v>
      </c>
      <c r="P35" s="20">
        <f t="shared" si="2"/>
        <v>35</v>
      </c>
      <c r="Q35" s="5">
        <f>IF($A35="","",COUNTIFS('Convocations &amp; Temps de jeu'!$B$4:$B$675,$A35,'Convocations &amp; Temps de jeu'!$D$4:$D$675,"Non retenu"))</f>
        <v>1</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3</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2</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180</v>
      </c>
      <c r="L37" s="5">
        <f>IF($A37="","",SUMIFS('Convocations &amp; Temps de jeu'!$P$4:$P$675,'Convocations &amp; Temps de jeu'!$B$4:$B$675,$A37))</f>
        <v>2</v>
      </c>
      <c r="M37" s="5">
        <f>IF($A37="","",SUMIFS('Convocations &amp; Temps de jeu'!$Q$4:$Q$675,'Convocations &amp; Temps de jeu'!$B$4:$B$675,$A37))</f>
        <v>2</v>
      </c>
      <c r="N37" s="16">
        <f t="shared" si="0"/>
        <v>0.66666666666666663</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2</v>
      </c>
      <c r="V37" s="5">
        <f>IF($A37="","",COUNTIFS(Gardien!$B$4:$B$500,$A37,Gardien!$D$4:$D$500,"Oui"))</f>
        <v>1</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2</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1</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19</v>
      </c>
      <c r="L39" s="5">
        <f>IF($A39="","",SUMIFS('Convocations &amp; Temps de jeu'!$P$4:$P$675,'Convocations &amp; Temps de jeu'!$B$4:$B$675,$A39))</f>
        <v>1</v>
      </c>
      <c r="M39" s="5">
        <f>IF($A39="","",SUMIFS('Convocations &amp; Temps de jeu'!$Q$4:$Q$675,'Convocations &amp; Temps de jeu'!$B$4:$B$675,$A39))</f>
        <v>0</v>
      </c>
      <c r="N39" s="16">
        <f t="shared" si="0"/>
        <v>0.33333333333333331</v>
      </c>
      <c r="O39" s="16">
        <f t="shared" si="1"/>
        <v>0</v>
      </c>
      <c r="P39" s="20">
        <f t="shared" si="2"/>
        <v>19</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3</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3</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3</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2</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49</v>
      </c>
      <c r="L43" s="5">
        <f>IF($A43="","",SUMIFS('Convocations &amp; Temps de jeu'!$P$4:$P$675,'Convocations &amp; Temps de jeu'!$B$4:$B$675,$A43))</f>
        <v>2</v>
      </c>
      <c r="M43" s="5">
        <f>IF($A43="","",SUMIFS('Convocations &amp; Temps de jeu'!$Q$4:$Q$675,'Convocations &amp; Temps de jeu'!$B$4:$B$675,$A43))</f>
        <v>0</v>
      </c>
      <c r="N43" s="16">
        <f t="shared" si="0"/>
        <v>0.66666666666666663</v>
      </c>
      <c r="O43" s="16">
        <f t="shared" si="1"/>
        <v>0</v>
      </c>
      <c r="P43" s="20">
        <f t="shared" si="2"/>
        <v>24.5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63"/>
  <sheetViews>
    <sheetView tabSelected="1" workbookViewId="0">
      <selection activeCell="B9" sqref="B9"/>
    </sheetView>
  </sheetViews>
  <sheetFormatPr baseColWidth="10" defaultColWidth="8.7109375" defaultRowHeight="15" x14ac:dyDescent="0.25"/>
  <cols>
    <col min="1" max="1" width="10" customWidth="1"/>
    <col min="2" max="2" width="26" customWidth="1"/>
  </cols>
  <sheetData>
    <row r="1" spans="1:2" ht="15" customHeight="1" x14ac:dyDescent="0.25">
      <c r="A1" s="26" t="s">
        <v>265</v>
      </c>
      <c r="B1" s="26"/>
    </row>
    <row r="2" spans="1:2" ht="15" customHeight="1" x14ac:dyDescent="0.25">
      <c r="A2" s="23" t="s">
        <v>266</v>
      </c>
      <c r="B2" s="23"/>
    </row>
    <row r="3" spans="1:2" ht="15" customHeight="1" x14ac:dyDescent="0.25">
      <c r="A3" s="12" t="s">
        <v>117</v>
      </c>
      <c r="B3" s="12" t="s">
        <v>160</v>
      </c>
    </row>
    <row r="4" spans="1:2" ht="15" customHeight="1" x14ac:dyDescent="0.25">
      <c r="A4" s="4">
        <v>3</v>
      </c>
      <c r="B4" s="4" t="s">
        <v>233</v>
      </c>
    </row>
    <row r="5" spans="1:2" ht="15" customHeight="1" x14ac:dyDescent="0.25">
      <c r="A5" s="4"/>
      <c r="B5" s="4"/>
    </row>
    <row r="6" spans="1:2" ht="15" customHeight="1" x14ac:dyDescent="0.25">
      <c r="A6" s="4"/>
      <c r="B6" s="4"/>
    </row>
    <row r="7" spans="1:2" ht="15" customHeight="1" x14ac:dyDescent="0.25">
      <c r="A7" s="4"/>
      <c r="B7" s="4"/>
    </row>
    <row r="8" spans="1:2" ht="15" customHeight="1" x14ac:dyDescent="0.25">
      <c r="A8" s="4"/>
      <c r="B8" s="4"/>
    </row>
    <row r="9" spans="1:2" ht="15" customHeight="1" x14ac:dyDescent="0.25">
      <c r="A9" s="4"/>
      <c r="B9" s="4"/>
    </row>
    <row r="10" spans="1:2" ht="15" customHeight="1" x14ac:dyDescent="0.25">
      <c r="A10" s="4"/>
      <c r="B10" s="4"/>
    </row>
    <row r="11" spans="1:2" ht="15" customHeight="1" x14ac:dyDescent="0.25">
      <c r="A11" s="4"/>
      <c r="B11" s="4"/>
    </row>
    <row r="12" spans="1:2" ht="15" customHeight="1" x14ac:dyDescent="0.25">
      <c r="A12" s="4"/>
      <c r="B12" s="4"/>
    </row>
    <row r="13" spans="1:2" ht="15" customHeight="1" x14ac:dyDescent="0.25">
      <c r="A13" s="4"/>
      <c r="B13" s="4"/>
    </row>
    <row r="14" spans="1:2" ht="15" customHeight="1" x14ac:dyDescent="0.25">
      <c r="A14" s="4"/>
      <c r="B14" s="4"/>
    </row>
    <row r="15" spans="1:2" ht="15" customHeight="1" x14ac:dyDescent="0.25">
      <c r="A15" s="4"/>
      <c r="B15" s="4"/>
    </row>
    <row r="16" spans="1:2" ht="15" customHeight="1" x14ac:dyDescent="0.25">
      <c r="A16" s="4"/>
      <c r="B16" s="4"/>
    </row>
    <row r="17" spans="1:2" ht="15" customHeight="1" x14ac:dyDescent="0.25">
      <c r="A17" s="4"/>
      <c r="B17" s="4"/>
    </row>
    <row r="18" spans="1:2" ht="15" customHeight="1" x14ac:dyDescent="0.25">
      <c r="A18" s="4"/>
      <c r="B18" s="4"/>
    </row>
    <row r="19" spans="1:2" ht="15" customHeight="1" x14ac:dyDescent="0.25">
      <c r="A19" s="4"/>
      <c r="B19" s="4"/>
    </row>
    <row r="20" spans="1:2" ht="15" customHeight="1" x14ac:dyDescent="0.25">
      <c r="A20" s="4"/>
      <c r="B20" s="4"/>
    </row>
    <row r="21" spans="1:2" ht="15" customHeight="1" x14ac:dyDescent="0.25">
      <c r="A21" s="4"/>
      <c r="B21" s="4"/>
    </row>
    <row r="22" spans="1:2" ht="15" customHeight="1" x14ac:dyDescent="0.25">
      <c r="A22" s="4"/>
      <c r="B22" s="4"/>
    </row>
    <row r="23" spans="1:2" ht="15" customHeight="1" x14ac:dyDescent="0.25">
      <c r="A23" s="4"/>
      <c r="B23" s="4"/>
    </row>
    <row r="24" spans="1:2" ht="15" customHeight="1" x14ac:dyDescent="0.25">
      <c r="A24" s="4"/>
      <c r="B24" s="4"/>
    </row>
    <row r="25" spans="1:2" ht="15" customHeight="1" x14ac:dyDescent="0.25">
      <c r="A25" s="4"/>
      <c r="B25" s="4"/>
    </row>
    <row r="26" spans="1:2" ht="15" customHeight="1" x14ac:dyDescent="0.25">
      <c r="A26" s="4"/>
      <c r="B26" s="4"/>
    </row>
    <row r="27" spans="1:2" ht="15" customHeight="1" x14ac:dyDescent="0.25">
      <c r="A27" s="4"/>
      <c r="B27" s="4"/>
    </row>
    <row r="28" spans="1:2" ht="15" customHeight="1" x14ac:dyDescent="0.25">
      <c r="A28" s="4"/>
      <c r="B28" s="4"/>
    </row>
    <row r="29" spans="1:2" ht="15" customHeight="1" x14ac:dyDescent="0.25">
      <c r="A29" s="4"/>
      <c r="B29" s="4"/>
    </row>
    <row r="30" spans="1:2" ht="15" customHeight="1" x14ac:dyDescent="0.25">
      <c r="A30" s="4"/>
      <c r="B30" s="4"/>
    </row>
    <row r="31" spans="1:2" ht="15" customHeight="1" x14ac:dyDescent="0.25">
      <c r="A31" s="4"/>
      <c r="B31" s="4"/>
    </row>
    <row r="32" spans="1:2" ht="15" customHeight="1" x14ac:dyDescent="0.25">
      <c r="A32" s="4"/>
      <c r="B32" s="4"/>
    </row>
    <row r="33" spans="1:2" ht="15" customHeight="1" x14ac:dyDescent="0.25">
      <c r="A33" s="4"/>
      <c r="B33" s="4"/>
    </row>
    <row r="34" spans="1:2" ht="15" customHeight="1" x14ac:dyDescent="0.25">
      <c r="A34" s="4"/>
      <c r="B34" s="4"/>
    </row>
    <row r="35" spans="1:2" ht="15" customHeight="1" x14ac:dyDescent="0.25">
      <c r="A35" s="4"/>
      <c r="B35" s="4"/>
    </row>
    <row r="36" spans="1:2" ht="15" customHeight="1" x14ac:dyDescent="0.25">
      <c r="A36" s="4"/>
      <c r="B36" s="4"/>
    </row>
    <row r="37" spans="1:2" ht="15" customHeight="1" x14ac:dyDescent="0.25">
      <c r="A37" s="4"/>
      <c r="B37" s="4"/>
    </row>
    <row r="38" spans="1:2" ht="15" customHeight="1" x14ac:dyDescent="0.25">
      <c r="A38" s="4"/>
      <c r="B38" s="4"/>
    </row>
    <row r="39" spans="1:2" ht="15" customHeight="1" x14ac:dyDescent="0.25">
      <c r="A39" s="4"/>
      <c r="B39" s="4"/>
    </row>
    <row r="40" spans="1:2" ht="15" customHeight="1" x14ac:dyDescent="0.25">
      <c r="A40" s="4"/>
      <c r="B40" s="4"/>
    </row>
    <row r="41" spans="1:2" ht="15" customHeight="1" x14ac:dyDescent="0.25">
      <c r="A41" s="4"/>
      <c r="B41" s="4"/>
    </row>
    <row r="42" spans="1:2" ht="15" customHeight="1" x14ac:dyDescent="0.25">
      <c r="A42" s="4"/>
      <c r="B42" s="4"/>
    </row>
    <row r="43" spans="1:2" ht="15" customHeight="1" x14ac:dyDescent="0.25">
      <c r="A43" s="4"/>
      <c r="B43" s="4"/>
    </row>
    <row r="44" spans="1:2" ht="15" customHeight="1" x14ac:dyDescent="0.25">
      <c r="A44" s="4"/>
      <c r="B44" s="4"/>
    </row>
    <row r="45" spans="1:2" ht="15" customHeight="1" x14ac:dyDescent="0.25">
      <c r="A45" s="4"/>
      <c r="B45" s="4"/>
    </row>
    <row r="46" spans="1:2" ht="15" customHeight="1" x14ac:dyDescent="0.25">
      <c r="A46" s="4"/>
      <c r="B46" s="4"/>
    </row>
    <row r="47" spans="1:2" ht="15" customHeight="1" x14ac:dyDescent="0.25">
      <c r="A47" s="4"/>
      <c r="B47" s="4"/>
    </row>
    <row r="48" spans="1:2" ht="15" customHeight="1" x14ac:dyDescent="0.25">
      <c r="A48" s="4"/>
      <c r="B48" s="4"/>
    </row>
    <row r="49" spans="1:2" ht="15" customHeight="1" x14ac:dyDescent="0.25">
      <c r="A49" s="4"/>
      <c r="B49" s="4"/>
    </row>
    <row r="50" spans="1:2" ht="15" customHeight="1" x14ac:dyDescent="0.25">
      <c r="A50" s="4"/>
      <c r="B50" s="4"/>
    </row>
    <row r="51" spans="1:2" ht="15" customHeight="1" x14ac:dyDescent="0.25">
      <c r="A51" s="4"/>
      <c r="B51" s="4"/>
    </row>
    <row r="52" spans="1:2" ht="15" customHeight="1" x14ac:dyDescent="0.25">
      <c r="A52" s="4"/>
      <c r="B52" s="4"/>
    </row>
    <row r="53" spans="1:2" ht="15" customHeight="1" x14ac:dyDescent="0.25">
      <c r="A53" s="4"/>
      <c r="B53" s="4"/>
    </row>
    <row r="54" spans="1:2" ht="15" customHeight="1" x14ac:dyDescent="0.25">
      <c r="A54" s="4"/>
      <c r="B54" s="4"/>
    </row>
    <row r="55" spans="1:2" ht="15" customHeight="1" x14ac:dyDescent="0.25">
      <c r="A55" s="4"/>
      <c r="B55" s="4"/>
    </row>
    <row r="56" spans="1:2" ht="15" customHeight="1" x14ac:dyDescent="0.25">
      <c r="A56" s="4"/>
      <c r="B56" s="4"/>
    </row>
    <row r="57" spans="1:2" ht="15" customHeight="1" x14ac:dyDescent="0.25">
      <c r="A57" s="4"/>
      <c r="B57" s="4"/>
    </row>
    <row r="58" spans="1:2" ht="15" customHeight="1" x14ac:dyDescent="0.25">
      <c r="A58" s="4"/>
      <c r="B58" s="4"/>
    </row>
    <row r="59" spans="1:2" ht="15" customHeight="1" x14ac:dyDescent="0.25">
      <c r="A59" s="4"/>
      <c r="B59" s="4"/>
    </row>
    <row r="60" spans="1:2" ht="15" customHeight="1" x14ac:dyDescent="0.25">
      <c r="A60" s="4"/>
      <c r="B60" s="4"/>
    </row>
    <row r="61" spans="1:2" ht="15" customHeight="1" x14ac:dyDescent="0.25">
      <c r="A61" s="4"/>
      <c r="B61" s="4"/>
    </row>
    <row r="62" spans="1:2" ht="15" customHeight="1" x14ac:dyDescent="0.25">
      <c r="A62" s="4"/>
      <c r="B62" s="4"/>
    </row>
    <row r="63" spans="1:2" ht="15" customHeight="1" x14ac:dyDescent="0.25">
      <c r="A63" s="4"/>
      <c r="B63" s="4"/>
    </row>
  </sheetData>
  <mergeCells count="2">
    <mergeCell ref="A1:B1"/>
    <mergeCell ref="A2:B2"/>
  </mergeCells>
  <pageMargins left="0.75" right="0.75" top="1" bottom="1" header="0.511811023622047" footer="0.511811023622047"/>
  <extLst>
    <ext xmlns:x14="http://schemas.microsoft.com/office/spreadsheetml/2009/9/main" uri="{CCE6A557-97BC-4b89-ADB6-D9C93CAAB3DF}">
      <x14:dataValidations xmlns:xm="http://schemas.microsoft.com/office/excel/2006/main" count="2">
        <x14:dataValidation type="list" allowBlank="1" xr:uid="{00000000-0002-0000-0900-000000000000}">
          <x14:formula1>
            <xm:f>Matchs!$A$4:$A$31</xm:f>
          </x14:formula1>
          <x14:formula2>
            <xm:f>0</xm:f>
          </x14:formula2>
          <xm:sqref>A4:A63</xm:sqref>
        </x14:dataValidation>
        <x14:dataValidation type="list" allowBlank="1" xr:uid="{00000000-0002-0000-0900-000001000000}">
          <x14:formula1>
            <xm:f>'Effectif Saison'!$G$4:$G$42</xm:f>
          </x14:formula1>
          <x14:formula2>
            <xm:f>0</xm:f>
          </x14:formula2>
          <xm:sqref>B4:B63</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Legende</vt:lpstr>
      <vt:lpstr>Effectif Saison</vt:lpstr>
      <vt:lpstr>Matchs</vt:lpstr>
      <vt:lpstr>Buts</vt:lpstr>
      <vt:lpstr>Cartons</vt:lpstr>
      <vt:lpstr>Gardien</vt:lpstr>
      <vt:lpstr>Changements</vt:lpstr>
      <vt:lpstr>Convocations &amp; Temps de jeu</vt:lpstr>
      <vt:lpstr>Cumul Saison</vt:lpstr>
      <vt:lpstr>Maillots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2026-09-27T17:04:39Z</dcterms:modified>
  <dc:language>en-US</dc:language>
</cp:coreProperties>
</file>