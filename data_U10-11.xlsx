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BDC5725E-65D5-46AE-8EF3-07910E3DF17F}" xr6:coauthVersionLast="47" xr6:coauthVersionMax="47" xr10:uidLastSave="{00000000-0000-0000-0000-000000000000}"/>
  <bookViews>
    <workbookView xWindow="28680" yWindow="-120" windowWidth="29040" windowHeight="15720" tabRatio="500" firstSheet="1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5" i="8" l="1"/>
  <c r="F45" i="8" s="1"/>
  <c r="A44" i="8"/>
  <c r="F44" i="8" s="1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A35" i="8"/>
  <c r="C35" i="8" s="1"/>
  <c r="E34" i="8"/>
  <c r="A34" i="8"/>
  <c r="G34" i="8" s="1"/>
  <c r="A33" i="8"/>
  <c r="G33" i="8" s="1"/>
  <c r="G32" i="8"/>
  <c r="A32" i="8"/>
  <c r="F32" i="8" s="1"/>
  <c r="A31" i="8"/>
  <c r="G31" i="8" s="1"/>
  <c r="A30" i="8"/>
  <c r="G30" i="8" s="1"/>
  <c r="F29" i="8"/>
  <c r="C29" i="8"/>
  <c r="A29" i="8"/>
  <c r="G29" i="8" s="1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A25" i="8"/>
  <c r="E25" i="8" s="1"/>
  <c r="G24" i="8"/>
  <c r="F24" i="8"/>
  <c r="A24" i="8"/>
  <c r="E24" i="8" s="1"/>
  <c r="A23" i="8"/>
  <c r="G23" i="8" s="1"/>
  <c r="A22" i="8"/>
  <c r="G22" i="8" s="1"/>
  <c r="A21" i="8"/>
  <c r="F21" i="8" s="1"/>
  <c r="A20" i="8"/>
  <c r="F20" i="8" s="1"/>
  <c r="A19" i="8"/>
  <c r="C19" i="8" s="1"/>
  <c r="A18" i="8"/>
  <c r="C18" i="8" s="1"/>
  <c r="A17" i="8"/>
  <c r="C17" i="8" s="1"/>
  <c r="A16" i="8"/>
  <c r="D16" i="8" s="1"/>
  <c r="A15" i="8"/>
  <c r="C15" i="8" s="1"/>
  <c r="A14" i="8"/>
  <c r="G14" i="8" s="1"/>
  <c r="A13" i="8"/>
  <c r="G13" i="8" s="1"/>
  <c r="A12" i="8"/>
  <c r="G12" i="8" s="1"/>
  <c r="A11" i="8"/>
  <c r="D11" i="8" s="1"/>
  <c r="A10" i="8"/>
  <c r="E10" i="8" s="1"/>
  <c r="A9" i="8"/>
  <c r="F9" i="8" s="1"/>
  <c r="A8" i="8"/>
  <c r="D8" i="8" s="1"/>
  <c r="A7" i="8"/>
  <c r="G7" i="8" s="1"/>
  <c r="A6" i="8"/>
  <c r="F6" i="8" s="1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A87" i="3"/>
  <c r="I87" i="3" s="1"/>
  <c r="A86" i="3"/>
  <c r="J86" i="3" s="1"/>
  <c r="A85" i="3"/>
  <c r="J85" i="3" s="1"/>
  <c r="A84" i="3"/>
  <c r="J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A71" i="3"/>
  <c r="J71" i="3" s="1"/>
  <c r="A70" i="3"/>
  <c r="J70" i="3" s="1"/>
  <c r="A69" i="3"/>
  <c r="J69" i="3" s="1"/>
  <c r="A68" i="3"/>
  <c r="J68" i="3" s="1"/>
  <c r="A67" i="3"/>
  <c r="J67" i="3" s="1"/>
  <c r="A66" i="3"/>
  <c r="J66" i="3" s="1"/>
  <c r="A65" i="3"/>
  <c r="J65" i="3" s="1"/>
  <c r="A64" i="3"/>
  <c r="J64" i="3" s="1"/>
  <c r="A63" i="3"/>
  <c r="J63" i="3" s="1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A55" i="3"/>
  <c r="J55" i="3" s="1"/>
  <c r="A54" i="3"/>
  <c r="J54" i="3" s="1"/>
  <c r="A53" i="3"/>
  <c r="J53" i="3" s="1"/>
  <c r="A52" i="3"/>
  <c r="J52" i="3" s="1"/>
  <c r="A51" i="3"/>
  <c r="J51" i="3" s="1"/>
  <c r="A50" i="3"/>
  <c r="J50" i="3" s="1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J24" i="3" s="1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A15" i="3"/>
  <c r="J15" i="3" s="1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D7" i="8" l="1"/>
  <c r="E16" i="8"/>
  <c r="B23" i="8"/>
  <c r="I15" i="3"/>
  <c r="J87" i="3"/>
  <c r="B8" i="8"/>
  <c r="F23" i="8"/>
  <c r="F17" i="8"/>
  <c r="C20" i="8"/>
  <c r="B30" i="8"/>
  <c r="J23" i="3"/>
  <c r="I78" i="3"/>
  <c r="D5" i="8"/>
  <c r="B13" i="8"/>
  <c r="G20" i="8"/>
  <c r="B25" i="8"/>
  <c r="C30" i="8"/>
  <c r="E5" i="8"/>
  <c r="C13" i="8"/>
  <c r="I55" i="3"/>
  <c r="G8" i="8"/>
  <c r="G17" i="8"/>
  <c r="B24" i="8"/>
  <c r="B29" i="8"/>
  <c r="B20" i="8"/>
  <c r="B22" i="8"/>
  <c r="G25" i="8"/>
  <c r="G9" i="8"/>
  <c r="G18" i="8"/>
  <c r="D24" i="8"/>
  <c r="D29" i="8"/>
  <c r="F16" i="8"/>
  <c r="F7" i="8"/>
  <c r="D23" i="8"/>
  <c r="F8" i="8"/>
  <c r="C24" i="8"/>
  <c r="E29" i="8"/>
  <c r="C5" i="8"/>
  <c r="B31" i="8"/>
  <c r="D6" i="8"/>
  <c r="D15" i="8"/>
  <c r="D22" i="8"/>
  <c r="C31" i="8"/>
  <c r="C6" i="8"/>
  <c r="C22" i="8"/>
  <c r="B43" i="8"/>
  <c r="D43" i="8"/>
  <c r="E6" i="8"/>
  <c r="E15" i="8"/>
  <c r="E22" i="8"/>
  <c r="F15" i="8"/>
  <c r="F22" i="8"/>
  <c r="F31" i="8"/>
  <c r="I66" i="3"/>
  <c r="B7" i="8"/>
  <c r="G15" i="8"/>
  <c r="I50" i="3"/>
  <c r="C7" i="8"/>
  <c r="B33" i="8"/>
  <c r="C44" i="8"/>
  <c r="B5" i="8"/>
  <c r="C25" i="8"/>
  <c r="E30" i="8"/>
  <c r="I79" i="3"/>
  <c r="F5" i="8"/>
  <c r="D13" i="8"/>
  <c r="F25" i="8"/>
  <c r="F30" i="8"/>
  <c r="I25" i="3"/>
  <c r="I62" i="3"/>
  <c r="E31" i="8"/>
  <c r="J82" i="3"/>
  <c r="G44" i="8"/>
  <c r="D45" i="8"/>
  <c r="E7" i="8"/>
  <c r="C23" i="8"/>
  <c r="G16" i="8"/>
  <c r="E23" i="8"/>
  <c r="I71" i="3"/>
  <c r="D17" i="8"/>
  <c r="I54" i="3"/>
  <c r="E8" i="8"/>
  <c r="E17" i="8"/>
  <c r="F28" i="8"/>
  <c r="B35" i="8"/>
  <c r="G45" i="8"/>
  <c r="J7" i="3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<sst xmlns="http://schemas.openxmlformats.org/spreadsheetml/2006/main" count="345" uniqueCount="105">
  <si>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</si>
  <si>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</si>
  <si>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</si>
  <si>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</si>
  <si>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</si>
  <si>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</si>
  <si>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</si>
  <si>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</si>
  <si>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</si>
  <si>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</si>
  <si>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</si>
  <si>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</si>
  <si>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</si>
  <si>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</si>
  <si>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</si>
  <si>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</si>
  <si>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</si>
  <si>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</si>
  <si>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</si>
  <si>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</si>
  <si>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</si>
  <si>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</si>
  <si>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</si>
  <si>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</si>
  <si>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</si>
  <si>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</si>
  <si>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</si>
  <si>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</si>
  <si>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</si>
  <si>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</si>
  <si>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</si>
  <si>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</si>
  <si>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</si>
  <si>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</si>
  <si>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</si>
  <si>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</si>
  <si>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</si>
  <si>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</si>
  <si>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</si>
  <si>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</si>
  <si>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</si>
  <si>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</si>
  <si>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</si>
  <si>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</si>
  <si>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</si>
  <si>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</si>
  <si>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</si>
  <si>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</si>
  <si>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</si>
  <si>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</si>
  <si>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</si>
  <si>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</si>
  <si>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</si>
  <si>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</si>
  <si>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</si>
  <si>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</si>
  <si>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</si>
  <si>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</si>
  <si>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</si>
  <si>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</si>
  <si>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</si>
  <si>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</si>
  <si>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</si>
  <si>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</si>
  <si>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</si>
  <si>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</si>
  <si>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</si>
  <si>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</si>
  <si>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</si>
  <si>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</si>
  <si>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</si>
  <si>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</si>
  <si>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</si>
  <si>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</si>
  <si>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</si>
  <si>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</si>
  <si>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</si>
  <si>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</si>
  <si>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</si>
  <si>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</si>
  <si>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</si>
  <si>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</si>
  <si>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</si>
  <si>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</si>
  <si>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</si>
  <si>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</si>
  <si>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</si>
  <si>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</si>
  <si>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</si>
  <si>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</si>
  <si>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</si>
  <si>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</si>
  <si>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</si>
  <si>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</si>
  <si>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</si>
  <si>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</si>
  <si>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</si>
  <si>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</si>
  <si>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</si>
  <si>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</si>
  <si>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</si>
  <si>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</si>
  <si>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</si>
  <si>
    <t>CANTON VERT</t>
  </si>
  <si>
    <t>GRUSSENHEIM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</si>
</sst>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16" sqref="F16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6">
        <v>46298</v>
      </c>
      <c r="C11" s="7" t="s">
        <v>67</v>
      </c>
      <c r="D11" s="7"/>
      <c r="E11" s="7"/>
      <c r="F11" s="7" t="s">
        <v>103</v>
      </c>
      <c r="G11" s="7"/>
      <c r="H11" s="7"/>
      <c r="I11" s="5">
        <f>COUNTIFS(Convocations!$A:$A,A11,Convocations!$C:$C,"Oui")</f>
        <v>10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6">
        <v>46298</v>
      </c>
      <c r="C12" s="7" t="s">
        <v>69</v>
      </c>
      <c r="D12" s="7"/>
      <c r="E12" s="7"/>
      <c r="F12" s="7" t="s">
        <v>104</v>
      </c>
      <c r="G12" s="7"/>
      <c r="H12" s="7"/>
      <c r="I12" s="5">
        <f>COUNTIFS(Convocations!$A:$A,A12,Convocations!$C:$C,"Oui")</f>
        <v>12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6">
        <v>46298</v>
      </c>
      <c r="C13" s="7" t="s">
        <v>71</v>
      </c>
      <c r="D13" s="7"/>
      <c r="E13" s="7"/>
      <c r="F13" s="7" t="s">
        <v>70</v>
      </c>
      <c r="G13" s="7"/>
      <c r="H13" s="7"/>
      <c r="I13" s="5">
        <f>COUNTIFS(Convocations!$A:$A,A13,Convocations!$C:$C,"Oui")</f>
        <v>12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abSelected="1" topLeftCell="A74" zoomScaleNormal="100" workbookViewId="0">
      <selection activeCell="I84" sqref="I84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2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2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2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2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2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2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2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2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2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2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2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2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2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2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2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2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2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2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2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2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2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2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2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2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2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2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2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2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2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2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2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2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25">
      <c r="A70" s="7">
        <v>7</v>
      </c>
      <c r="B70" s="7" t="s">
        <v>36</v>
      </c>
      <c r="C70" s="7" t="s">
        <v>77</v>
      </c>
      <c r="D70" s="7"/>
      <c r="E70" s="7"/>
    </row>
    <row r="71" spans="1:5" ht="15" customHeight="1" x14ac:dyDescent="0.25">
      <c r="A71" s="7">
        <v>7</v>
      </c>
      <c r="B71" s="7" t="s">
        <v>43</v>
      </c>
      <c r="C71" s="7" t="s">
        <v>77</v>
      </c>
      <c r="D71" s="7"/>
      <c r="E71" s="7"/>
    </row>
    <row r="72" spans="1:5" ht="15" customHeight="1" x14ac:dyDescent="0.25">
      <c r="A72" s="7">
        <v>7</v>
      </c>
      <c r="B72" s="7" t="s">
        <v>37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44</v>
      </c>
      <c r="C73" s="7" t="s">
        <v>77</v>
      </c>
      <c r="D73" s="7"/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/>
      <c r="E74" s="7"/>
    </row>
    <row r="75" spans="1:5" ht="15" customHeight="1" x14ac:dyDescent="0.25">
      <c r="A75" s="7">
        <v>7</v>
      </c>
      <c r="B75" s="7" t="s">
        <v>16</v>
      </c>
      <c r="C75" s="7" t="s">
        <v>77</v>
      </c>
      <c r="D75" s="7"/>
      <c r="E75" s="7"/>
    </row>
    <row r="76" spans="1:5" ht="15" customHeight="1" x14ac:dyDescent="0.25">
      <c r="A76" s="7">
        <v>7</v>
      </c>
      <c r="B76" s="7" t="s">
        <v>27</v>
      </c>
      <c r="C76" s="7" t="s">
        <v>77</v>
      </c>
      <c r="D76" s="7"/>
      <c r="E76" s="7"/>
    </row>
    <row r="77" spans="1:5" ht="15" customHeight="1" x14ac:dyDescent="0.25">
      <c r="A77" s="7">
        <v>7</v>
      </c>
      <c r="B77" s="7" t="s">
        <v>41</v>
      </c>
      <c r="C77" s="7" t="s">
        <v>77</v>
      </c>
      <c r="D77" s="7"/>
      <c r="E77" s="7"/>
    </row>
    <row r="78" spans="1:5" ht="15" customHeight="1" x14ac:dyDescent="0.25">
      <c r="A78" s="7">
        <v>7</v>
      </c>
      <c r="B78" s="7" t="s">
        <v>35</v>
      </c>
      <c r="C78" s="7" t="s">
        <v>77</v>
      </c>
      <c r="D78" s="7"/>
      <c r="E78" s="7"/>
    </row>
    <row r="79" spans="1:5" ht="15" customHeight="1" x14ac:dyDescent="0.25">
      <c r="A79" s="7">
        <v>7</v>
      </c>
      <c r="B79" s="7" t="s">
        <v>22</v>
      </c>
      <c r="C79" s="7" t="s">
        <v>77</v>
      </c>
      <c r="D79" s="7"/>
      <c r="E79" s="7"/>
    </row>
    <row r="80" spans="1:5" ht="15" customHeight="1" x14ac:dyDescent="0.25">
      <c r="A80" s="7">
        <v>8</v>
      </c>
      <c r="B80" s="7" t="s">
        <v>46</v>
      </c>
      <c r="C80" s="7" t="s">
        <v>77</v>
      </c>
      <c r="D80" s="7"/>
      <c r="E80" s="7"/>
    </row>
    <row r="81" spans="1:5" ht="15" customHeight="1" x14ac:dyDescent="0.25">
      <c r="A81" s="7">
        <v>8</v>
      </c>
      <c r="B81" s="7" t="s">
        <v>15</v>
      </c>
      <c r="C81" s="7" t="s">
        <v>77</v>
      </c>
      <c r="D81" s="7"/>
      <c r="E81" s="7"/>
    </row>
    <row r="82" spans="1:5" ht="15" customHeight="1" x14ac:dyDescent="0.25">
      <c r="A82" s="7">
        <v>8</v>
      </c>
      <c r="B82" s="7" t="s">
        <v>42</v>
      </c>
      <c r="C82" s="7" t="s">
        <v>77</v>
      </c>
      <c r="D82" s="7"/>
      <c r="E82" s="7"/>
    </row>
    <row r="83" spans="1:5" ht="15" customHeight="1" x14ac:dyDescent="0.25">
      <c r="A83" s="7">
        <v>8</v>
      </c>
      <c r="B83" s="7" t="s">
        <v>39</v>
      </c>
      <c r="C83" s="7" t="s">
        <v>77</v>
      </c>
      <c r="D83" s="7"/>
      <c r="E83" s="7"/>
    </row>
    <row r="84" spans="1:5" ht="15" customHeight="1" x14ac:dyDescent="0.25">
      <c r="A84" s="7">
        <v>8</v>
      </c>
      <c r="B84" s="7" t="s">
        <v>45</v>
      </c>
      <c r="C84" s="7" t="s">
        <v>77</v>
      </c>
      <c r="D84" s="7"/>
      <c r="E84" s="7"/>
    </row>
    <row r="85" spans="1:5" ht="15" customHeight="1" x14ac:dyDescent="0.25">
      <c r="A85" s="7">
        <v>8</v>
      </c>
      <c r="B85" s="7" t="s">
        <v>34</v>
      </c>
      <c r="C85" s="7" t="s">
        <v>77</v>
      </c>
      <c r="D85" s="7"/>
      <c r="E85" s="7"/>
    </row>
    <row r="86" spans="1:5" ht="15" customHeight="1" x14ac:dyDescent="0.25">
      <c r="A86" s="7">
        <v>8</v>
      </c>
      <c r="B86" s="7" t="s">
        <v>40</v>
      </c>
      <c r="C86" s="7" t="s">
        <v>77</v>
      </c>
      <c r="D86" s="7"/>
      <c r="E86" s="7"/>
    </row>
    <row r="87" spans="1:5" ht="15" customHeight="1" x14ac:dyDescent="0.25">
      <c r="A87" s="7">
        <v>8</v>
      </c>
      <c r="B87" s="7" t="s">
        <v>33</v>
      </c>
      <c r="C87" s="7" t="s">
        <v>77</v>
      </c>
      <c r="D87" s="7"/>
      <c r="E87" s="7"/>
    </row>
    <row r="88" spans="1:5" ht="15" customHeight="1" x14ac:dyDescent="0.25">
      <c r="A88" s="7">
        <v>8</v>
      </c>
      <c r="B88" s="7" t="s">
        <v>50</v>
      </c>
      <c r="C88" s="7" t="s">
        <v>77</v>
      </c>
      <c r="D88" s="7"/>
      <c r="E88" s="7"/>
    </row>
    <row r="89" spans="1:5" ht="15" customHeight="1" x14ac:dyDescent="0.25">
      <c r="A89" s="7">
        <v>8</v>
      </c>
      <c r="B89" s="7" t="s">
        <v>54</v>
      </c>
      <c r="C89" s="7" t="s">
        <v>77</v>
      </c>
      <c r="D89" s="7"/>
      <c r="E89" s="7"/>
    </row>
    <row r="90" spans="1:5" ht="15" customHeight="1" x14ac:dyDescent="0.25">
      <c r="A90" s="7">
        <v>8</v>
      </c>
      <c r="B90" s="7" t="s">
        <v>48</v>
      </c>
      <c r="C90" s="7" t="s">
        <v>77</v>
      </c>
      <c r="D90" s="7"/>
      <c r="E90" s="7"/>
    </row>
    <row r="91" spans="1:5" ht="15" customHeight="1" x14ac:dyDescent="0.25">
      <c r="A91" s="7">
        <v>8</v>
      </c>
      <c r="B91" s="7" t="s">
        <v>49</v>
      </c>
      <c r="C91" s="7" t="s">
        <v>77</v>
      </c>
      <c r="D91" s="7"/>
      <c r="E91" s="7"/>
    </row>
    <row r="92" spans="1:5" ht="15" customHeight="1" x14ac:dyDescent="0.25">
      <c r="A92" s="7">
        <v>9</v>
      </c>
      <c r="B92" s="7" t="s">
        <v>24</v>
      </c>
      <c r="C92" s="7" t="s">
        <v>77</v>
      </c>
      <c r="D92" s="7"/>
      <c r="E92" s="7"/>
    </row>
    <row r="93" spans="1:5" ht="15" customHeight="1" x14ac:dyDescent="0.25">
      <c r="A93" s="7">
        <v>9</v>
      </c>
      <c r="B93" s="7" t="s">
        <v>32</v>
      </c>
      <c r="C93" s="7" t="s">
        <v>77</v>
      </c>
      <c r="D93" s="7"/>
      <c r="E93" s="7"/>
    </row>
    <row r="94" spans="1:5" ht="15" customHeight="1" x14ac:dyDescent="0.25">
      <c r="A94" s="7">
        <v>9</v>
      </c>
      <c r="B94" s="7" t="s">
        <v>20</v>
      </c>
      <c r="C94" s="7" t="s">
        <v>77</v>
      </c>
      <c r="D94" s="7"/>
      <c r="E94" s="7"/>
    </row>
    <row r="95" spans="1:5" ht="15" customHeight="1" x14ac:dyDescent="0.25">
      <c r="A95" s="7">
        <v>9</v>
      </c>
      <c r="B95" s="7" t="s">
        <v>53</v>
      </c>
      <c r="C95" s="7" t="s">
        <v>77</v>
      </c>
      <c r="D95" s="7"/>
      <c r="E95" s="7"/>
    </row>
    <row r="96" spans="1:5" ht="15" customHeight="1" x14ac:dyDescent="0.25">
      <c r="A96" s="7">
        <v>9</v>
      </c>
      <c r="B96" s="7" t="s">
        <v>47</v>
      </c>
      <c r="C96" s="7" t="s">
        <v>77</v>
      </c>
      <c r="D96" s="7"/>
      <c r="E96" s="7"/>
    </row>
    <row r="97" spans="1:5" ht="15" customHeight="1" x14ac:dyDescent="0.25">
      <c r="A97" s="7">
        <v>9</v>
      </c>
      <c r="B97" s="7" t="s">
        <v>31</v>
      </c>
      <c r="C97" s="7" t="s">
        <v>77</v>
      </c>
      <c r="D97" s="7"/>
      <c r="E97" s="7"/>
    </row>
    <row r="98" spans="1:5" ht="15" customHeight="1" x14ac:dyDescent="0.25">
      <c r="A98" s="7">
        <v>9</v>
      </c>
      <c r="B98" s="7" t="s">
        <v>51</v>
      </c>
      <c r="C98" s="7" t="s">
        <v>77</v>
      </c>
      <c r="D98" s="7"/>
      <c r="E98" s="7"/>
    </row>
    <row r="99" spans="1:5" ht="15" customHeight="1" x14ac:dyDescent="0.25">
      <c r="A99" s="7">
        <v>9</v>
      </c>
      <c r="B99" s="7" t="s">
        <v>26</v>
      </c>
      <c r="C99" s="7" t="s">
        <v>77</v>
      </c>
      <c r="D99" s="7"/>
      <c r="E99" s="7"/>
    </row>
    <row r="100" spans="1:5" ht="15" customHeight="1" x14ac:dyDescent="0.25">
      <c r="A100" s="7">
        <v>9</v>
      </c>
      <c r="B100" s="7" t="s">
        <v>38</v>
      </c>
      <c r="C100" s="7" t="s">
        <v>77</v>
      </c>
      <c r="D100" s="7"/>
      <c r="E100" s="7"/>
    </row>
    <row r="101" spans="1:5" ht="15" customHeight="1" x14ac:dyDescent="0.25">
      <c r="A101" s="7">
        <v>9</v>
      </c>
      <c r="B101" s="7" t="s">
        <v>19</v>
      </c>
      <c r="C101" s="7" t="s">
        <v>77</v>
      </c>
      <c r="D101" s="7"/>
      <c r="E101" s="7"/>
    </row>
    <row r="102" spans="1:5" ht="15" customHeight="1" x14ac:dyDescent="0.25">
      <c r="A102" s="7">
        <v>9</v>
      </c>
      <c r="B102" s="7" t="s">
        <v>17</v>
      </c>
      <c r="C102" s="7" t="s">
        <v>77</v>
      </c>
      <c r="D102" s="7"/>
      <c r="E102" s="7"/>
    </row>
    <row r="103" spans="1:5" ht="15" customHeight="1" x14ac:dyDescent="0.25">
      <c r="A103" s="7">
        <v>9</v>
      </c>
      <c r="B103" s="7" t="s">
        <v>21</v>
      </c>
      <c r="C103" s="7" t="s">
        <v>77</v>
      </c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0000000}">
      <formula1>"Oui,Non"</formula1>
      <formula2>0</formula2>
    </dataValidation>
    <dataValidation type="list" allowBlank="1" sqref="E5:E1009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A23" sqref="A23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>
        <v>2</v>
      </c>
      <c r="B16" s="7" t="s">
        <v>50</v>
      </c>
      <c r="C16" s="7"/>
      <c r="D16" s="7"/>
      <c r="E16" s="7"/>
    </row>
    <row r="17" spans="1:5" ht="15" customHeight="1" x14ac:dyDescent="0.25">
      <c r="A17" s="7">
        <v>2</v>
      </c>
      <c r="B17" s="7" t="s">
        <v>50</v>
      </c>
      <c r="C17" s="7"/>
      <c r="D17" s="7"/>
      <c r="E17" s="7"/>
    </row>
    <row r="18" spans="1:5" ht="15" customHeight="1" x14ac:dyDescent="0.25">
      <c r="A18" s="7">
        <v>2</v>
      </c>
      <c r="B18" s="7" t="s">
        <v>50</v>
      </c>
      <c r="C18" s="7"/>
      <c r="D18" s="7"/>
      <c r="E18" s="7"/>
    </row>
    <row r="19" spans="1:5" ht="15" customHeight="1" x14ac:dyDescent="0.25">
      <c r="A19" s="7">
        <v>2</v>
      </c>
      <c r="B19" s="7" t="s">
        <v>50</v>
      </c>
      <c r="C19" s="7"/>
      <c r="D19" s="7"/>
      <c r="E19" s="7"/>
    </row>
    <row r="20" spans="1:5" ht="15" customHeight="1" x14ac:dyDescent="0.25">
      <c r="A20" s="7">
        <v>4</v>
      </c>
      <c r="B20" s="7" t="s">
        <v>22</v>
      </c>
      <c r="C20" s="7" t="s">
        <v>16</v>
      </c>
      <c r="D20" s="7"/>
      <c r="E20" s="7"/>
    </row>
    <row r="21" spans="1:5" ht="15" customHeight="1" x14ac:dyDescent="0.25">
      <c r="A21" s="7">
        <v>4</v>
      </c>
      <c r="B21" s="7" t="s">
        <v>30</v>
      </c>
      <c r="C21" s="7" t="s">
        <v>27</v>
      </c>
      <c r="D21" s="7"/>
      <c r="E21" s="7"/>
    </row>
    <row r="22" spans="1:5" ht="15" customHeight="1" x14ac:dyDescent="0.25">
      <c r="A22" s="7">
        <v>4</v>
      </c>
      <c r="B22" s="7" t="s">
        <v>52</v>
      </c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0000000}">
      <formula1>"Nous,Adv"</formula1>
      <formula2>0</formula2>
    </dataValidation>
    <dataValidation type="list" allowBlank="1" sqref="E5:E25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3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3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3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3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3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3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3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1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3</v>
      </c>
      <c r="C13" s="5">
        <f>COUNTIFS(Convocations!$B:$B,A13,Convocations!$D:$D,"Oui")</f>
        <v>0</v>
      </c>
      <c r="D13" s="5">
        <f>COUNTIF(Buts!$B:$B,A13)</f>
        <v>2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2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3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3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1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2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2</v>
      </c>
      <c r="C21" s="5">
        <f>COUNTIFS(Convocations!$B:$B,A21,Convocations!$D:$D,"Oui")</f>
        <v>0</v>
      </c>
      <c r="D21" s="5">
        <f>COUNTIF(Buts!$B:$B,A21)</f>
        <v>2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3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2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2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3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2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3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3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3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3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3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2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3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2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3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1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2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3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2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2</v>
      </c>
      <c r="C43" s="5">
        <f>COUNTIFS(Convocations!$B:$B,A43,Convocations!$D:$D,"Oui")</f>
        <v>0</v>
      </c>
      <c r="D43" s="5">
        <f>COUNTIF(Buts!$B:$B,A43)</f>
        <v>1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3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3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Philippe Meyer</cp:lastModifiedBy>
  <cp:revision>0</cp:revision>
  <dcterms:created xsi:type="dcterms:W3CDTF">2026-09-15T10:33:14Z</dcterms:created>
  <dcterms:modified xsi:type="dcterms:W3CDTF">2026-10-03T08:14:58Z</dcterms:modified>
  <cp:category/>
  <cp:contentStatus/>
</cp:coreProperties>
</file>