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EA341D60-BF9C-4DAA-9439-95ADBF8BAA61}" xr6:coauthVersionLast="47" xr6:coauthVersionMax="47" xr10:uidLastSave="{00000000-0000-0000-0000-000000000000}"/>
  <bookViews>
    <workbookView xWindow="28680" yWindow="-120" windowWidth="29040" windowHeight="15720" tabRatio="500" activeTab="7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5" i="8" l="1"/>
  <c r="A45" i="8"/>
  <c r="G45" i="8" s="1"/>
  <c r="G44" i="8"/>
  <c r="C44" i="8"/>
  <c r="B44" i="8"/>
  <c r="A44" i="8"/>
  <c r="F44" i="8" s="1"/>
  <c r="F43" i="8"/>
  <c r="C43" i="8"/>
  <c r="A43" i="8"/>
  <c r="G43" i="8" s="1"/>
  <c r="G42" i="8"/>
  <c r="F42" i="8"/>
  <c r="E42" i="8"/>
  <c r="A42" i="8"/>
  <c r="D42" i="8" s="1"/>
  <c r="F41" i="8"/>
  <c r="A41" i="8"/>
  <c r="G41" i="8" s="1"/>
  <c r="G40" i="8"/>
  <c r="F40" i="8"/>
  <c r="E40" i="8"/>
  <c r="A40" i="8"/>
  <c r="D40" i="8" s="1"/>
  <c r="G39" i="8"/>
  <c r="F39" i="8"/>
  <c r="E39" i="8"/>
  <c r="D39" i="8"/>
  <c r="C39" i="8"/>
  <c r="B39" i="8"/>
  <c r="A39" i="8"/>
  <c r="C38" i="8"/>
  <c r="A38" i="8"/>
  <c r="G38" i="8" s="1"/>
  <c r="F37" i="8"/>
  <c r="E37" i="8"/>
  <c r="D37" i="8"/>
  <c r="C37" i="8"/>
  <c r="B37" i="8"/>
  <c r="A37" i="8"/>
  <c r="G37" i="8" s="1"/>
  <c r="A36" i="8"/>
  <c r="G36" i="8" s="1"/>
  <c r="G35" i="8"/>
  <c r="F35" i="8"/>
  <c r="E35" i="8"/>
  <c r="B35" i="8"/>
  <c r="A35" i="8"/>
  <c r="D35" i="8" s="1"/>
  <c r="A34" i="8"/>
  <c r="G34" i="8" s="1"/>
  <c r="G33" i="8"/>
  <c r="F33" i="8"/>
  <c r="A33" i="8"/>
  <c r="E33" i="8" s="1"/>
  <c r="G32" i="8"/>
  <c r="F32" i="8"/>
  <c r="E32" i="8"/>
  <c r="D32" i="8"/>
  <c r="C32" i="8"/>
  <c r="B32" i="8"/>
  <c r="A32" i="8"/>
  <c r="F31" i="8"/>
  <c r="D31" i="8"/>
  <c r="B31" i="8"/>
  <c r="A31" i="8"/>
  <c r="G31" i="8" s="1"/>
  <c r="G30" i="8"/>
  <c r="F30" i="8"/>
  <c r="E30" i="8"/>
  <c r="D30" i="8"/>
  <c r="C30" i="8"/>
  <c r="A30" i="8"/>
  <c r="B30" i="8" s="1"/>
  <c r="A29" i="8"/>
  <c r="G29" i="8" s="1"/>
  <c r="G28" i="8"/>
  <c r="C28" i="8"/>
  <c r="A28" i="8"/>
  <c r="F28" i="8" s="1"/>
  <c r="A27" i="8"/>
  <c r="B27" i="8" s="1"/>
  <c r="G26" i="8"/>
  <c r="A26" i="8"/>
  <c r="F26" i="8" s="1"/>
  <c r="G25" i="8"/>
  <c r="F25" i="8"/>
  <c r="E25" i="8"/>
  <c r="D25" i="8"/>
  <c r="C25" i="8"/>
  <c r="B25" i="8"/>
  <c r="A25" i="8"/>
  <c r="G24" i="8"/>
  <c r="E24" i="8"/>
  <c r="A24" i="8"/>
  <c r="F24" i="8" s="1"/>
  <c r="G23" i="8"/>
  <c r="F23" i="8"/>
  <c r="E23" i="8"/>
  <c r="D23" i="8"/>
  <c r="A23" i="8"/>
  <c r="C23" i="8" s="1"/>
  <c r="A22" i="8"/>
  <c r="G22" i="8" s="1"/>
  <c r="G21" i="8"/>
  <c r="F21" i="8"/>
  <c r="E21" i="8"/>
  <c r="D21" i="8"/>
  <c r="B21" i="8"/>
  <c r="A21" i="8"/>
  <c r="C21" i="8" s="1"/>
  <c r="A20" i="8"/>
  <c r="G20" i="8" s="1"/>
  <c r="A19" i="8"/>
  <c r="G19" i="8" s="1"/>
  <c r="A18" i="8"/>
  <c r="D18" i="8" s="1"/>
  <c r="A17" i="8"/>
  <c r="G17" i="8" s="1"/>
  <c r="G16" i="8"/>
  <c r="F16" i="8"/>
  <c r="E16" i="8"/>
  <c r="A16" i="8"/>
  <c r="D16" i="8" s="1"/>
  <c r="A15" i="8"/>
  <c r="F15" i="8" s="1"/>
  <c r="G14" i="8"/>
  <c r="E14" i="8"/>
  <c r="C14" i="8"/>
  <c r="A14" i="8"/>
  <c r="F14" i="8" s="1"/>
  <c r="F13" i="8"/>
  <c r="E13" i="8"/>
  <c r="D13" i="8"/>
  <c r="C13" i="8"/>
  <c r="B13" i="8"/>
  <c r="A13" i="8"/>
  <c r="G13" i="8" s="1"/>
  <c r="A12" i="8"/>
  <c r="G12" i="8" s="1"/>
  <c r="G11" i="8"/>
  <c r="F11" i="8"/>
  <c r="E11" i="8"/>
  <c r="D11" i="8"/>
  <c r="C11" i="8"/>
  <c r="B11" i="8"/>
  <c r="A11" i="8"/>
  <c r="A10" i="8"/>
  <c r="G10" i="8" s="1"/>
  <c r="G9" i="8"/>
  <c r="F9" i="8"/>
  <c r="A9" i="8"/>
  <c r="E9" i="8" s="1"/>
  <c r="A8" i="8"/>
  <c r="B8" i="8" s="1"/>
  <c r="G7" i="8"/>
  <c r="F7" i="8"/>
  <c r="E7" i="8"/>
  <c r="D7" i="8"/>
  <c r="B7" i="8"/>
  <c r="A7" i="8"/>
  <c r="C7" i="8" s="1"/>
  <c r="G6" i="8"/>
  <c r="F6" i="8"/>
  <c r="E6" i="8"/>
  <c r="D6" i="8"/>
  <c r="C6" i="8"/>
  <c r="A6" i="8"/>
  <c r="B6" i="8" s="1"/>
  <c r="A5" i="8"/>
  <c r="G5" i="8" s="1"/>
  <c r="A94" i="3"/>
  <c r="I94" i="3" s="1"/>
  <c r="J93" i="3"/>
  <c r="I93" i="3"/>
  <c r="A93" i="3"/>
  <c r="J92" i="3"/>
  <c r="A92" i="3"/>
  <c r="I92" i="3" s="1"/>
  <c r="A91" i="3"/>
  <c r="I91" i="3" s="1"/>
  <c r="A90" i="3"/>
  <c r="J90" i="3" s="1"/>
  <c r="A89" i="3"/>
  <c r="J89" i="3" s="1"/>
  <c r="A88" i="3"/>
  <c r="J88" i="3" s="1"/>
  <c r="A87" i="3"/>
  <c r="I87" i="3" s="1"/>
  <c r="A86" i="3"/>
  <c r="I86" i="3" s="1"/>
  <c r="J85" i="3"/>
  <c r="I85" i="3"/>
  <c r="A85" i="3"/>
  <c r="J84" i="3"/>
  <c r="A84" i="3"/>
  <c r="I84" i="3" s="1"/>
  <c r="A83" i="3"/>
  <c r="I83" i="3" s="1"/>
  <c r="A82" i="3"/>
  <c r="J82" i="3" s="1"/>
  <c r="A81" i="3"/>
  <c r="J81" i="3" s="1"/>
  <c r="A80" i="3"/>
  <c r="J80" i="3" s="1"/>
  <c r="A79" i="3"/>
  <c r="I79" i="3" s="1"/>
  <c r="A78" i="3"/>
  <c r="I78" i="3" s="1"/>
  <c r="J77" i="3"/>
  <c r="I77" i="3"/>
  <c r="A77" i="3"/>
  <c r="J76" i="3"/>
  <c r="A76" i="3"/>
  <c r="I76" i="3" s="1"/>
  <c r="A75" i="3"/>
  <c r="I75" i="3" s="1"/>
  <c r="A74" i="3"/>
  <c r="J74" i="3" s="1"/>
  <c r="A73" i="3"/>
  <c r="J73" i="3" s="1"/>
  <c r="A72" i="3"/>
  <c r="J72" i="3" s="1"/>
  <c r="A71" i="3"/>
  <c r="I71" i="3" s="1"/>
  <c r="A70" i="3"/>
  <c r="I70" i="3" s="1"/>
  <c r="J69" i="3"/>
  <c r="I69" i="3"/>
  <c r="A69" i="3"/>
  <c r="J68" i="3"/>
  <c r="A68" i="3"/>
  <c r="I68" i="3" s="1"/>
  <c r="A67" i="3"/>
  <c r="I67" i="3" s="1"/>
  <c r="A66" i="3"/>
  <c r="J66" i="3" s="1"/>
  <c r="A65" i="3"/>
  <c r="J65" i="3" s="1"/>
  <c r="A64" i="3"/>
  <c r="J64" i="3" s="1"/>
  <c r="A63" i="3"/>
  <c r="I63" i="3" s="1"/>
  <c r="A62" i="3"/>
  <c r="I62" i="3" s="1"/>
  <c r="J61" i="3"/>
  <c r="I61" i="3"/>
  <c r="A61" i="3"/>
  <c r="J60" i="3"/>
  <c r="A60" i="3"/>
  <c r="I60" i="3" s="1"/>
  <c r="A59" i="3"/>
  <c r="I59" i="3" s="1"/>
  <c r="A58" i="3"/>
  <c r="J58" i="3" s="1"/>
  <c r="A57" i="3"/>
  <c r="J57" i="3" s="1"/>
  <c r="A56" i="3"/>
  <c r="J56" i="3" s="1"/>
  <c r="A55" i="3"/>
  <c r="I55" i="3" s="1"/>
  <c r="A54" i="3"/>
  <c r="I54" i="3" s="1"/>
  <c r="J53" i="3"/>
  <c r="I53" i="3"/>
  <c r="A53" i="3"/>
  <c r="J52" i="3"/>
  <c r="A52" i="3"/>
  <c r="I52" i="3" s="1"/>
  <c r="A51" i="3"/>
  <c r="I51" i="3" s="1"/>
  <c r="A50" i="3"/>
  <c r="J50" i="3" s="1"/>
  <c r="A49" i="3"/>
  <c r="J49" i="3" s="1"/>
  <c r="A48" i="3"/>
  <c r="J48" i="3" s="1"/>
  <c r="A47" i="3"/>
  <c r="I47" i="3" s="1"/>
  <c r="A46" i="3"/>
  <c r="I46" i="3" s="1"/>
  <c r="J45" i="3"/>
  <c r="I45" i="3"/>
  <c r="A45" i="3"/>
  <c r="J44" i="3"/>
  <c r="A44" i="3"/>
  <c r="I44" i="3" s="1"/>
  <c r="A43" i="3"/>
  <c r="I43" i="3" s="1"/>
  <c r="A42" i="3"/>
  <c r="J42" i="3" s="1"/>
  <c r="A41" i="3"/>
  <c r="J41" i="3" s="1"/>
  <c r="A40" i="3"/>
  <c r="J40" i="3" s="1"/>
  <c r="A39" i="3"/>
  <c r="I39" i="3" s="1"/>
  <c r="A38" i="3"/>
  <c r="I38" i="3" s="1"/>
  <c r="J37" i="3"/>
  <c r="I37" i="3"/>
  <c r="A37" i="3"/>
  <c r="J36" i="3"/>
  <c r="A36" i="3"/>
  <c r="I36" i="3" s="1"/>
  <c r="A35" i="3"/>
  <c r="I35" i="3" s="1"/>
  <c r="A34" i="3"/>
  <c r="J34" i="3" s="1"/>
  <c r="A33" i="3"/>
  <c r="J33" i="3" s="1"/>
  <c r="A32" i="3"/>
  <c r="J32" i="3" s="1"/>
  <c r="A31" i="3"/>
  <c r="I31" i="3" s="1"/>
  <c r="A30" i="3"/>
  <c r="I30" i="3" s="1"/>
  <c r="J29" i="3"/>
  <c r="I29" i="3"/>
  <c r="A29" i="3"/>
  <c r="J28" i="3"/>
  <c r="A28" i="3"/>
  <c r="I28" i="3" s="1"/>
  <c r="A27" i="3"/>
  <c r="I27" i="3" s="1"/>
  <c r="A26" i="3"/>
  <c r="J26" i="3" s="1"/>
  <c r="A25" i="3"/>
  <c r="J25" i="3" s="1"/>
  <c r="A24" i="3"/>
  <c r="J24" i="3" s="1"/>
  <c r="A23" i="3"/>
  <c r="I23" i="3" s="1"/>
  <c r="A22" i="3"/>
  <c r="I22" i="3" s="1"/>
  <c r="J21" i="3"/>
  <c r="I21" i="3"/>
  <c r="A21" i="3"/>
  <c r="J20" i="3"/>
  <c r="A20" i="3"/>
  <c r="I20" i="3" s="1"/>
  <c r="A19" i="3"/>
  <c r="I19" i="3" s="1"/>
  <c r="A18" i="3"/>
  <c r="J18" i="3" s="1"/>
  <c r="A17" i="3"/>
  <c r="J17" i="3" s="1"/>
  <c r="A16" i="3"/>
  <c r="J16" i="3" s="1"/>
  <c r="A15" i="3"/>
  <c r="I15" i="3" s="1"/>
  <c r="A14" i="3"/>
  <c r="I14" i="3" s="1"/>
  <c r="J13" i="3"/>
  <c r="I13" i="3"/>
  <c r="A13" i="3"/>
  <c r="J12" i="3"/>
  <c r="A12" i="3"/>
  <c r="I12" i="3" s="1"/>
  <c r="A11" i="3"/>
  <c r="I11" i="3" s="1"/>
  <c r="A10" i="3"/>
  <c r="J10" i="3" s="1"/>
  <c r="A9" i="3"/>
  <c r="J9" i="3" s="1"/>
  <c r="A8" i="3"/>
  <c r="J8" i="3" s="1"/>
  <c r="A7" i="3"/>
  <c r="I7" i="3" s="1"/>
  <c r="A6" i="3"/>
  <c r="I6" i="3" s="1"/>
  <c r="J5" i="3"/>
  <c r="I5" i="3"/>
  <c r="A5" i="3"/>
  <c r="J6" i="3" l="1"/>
  <c r="J14" i="3"/>
  <c r="J22" i="3"/>
  <c r="J30" i="3"/>
  <c r="J38" i="3"/>
  <c r="J46" i="3"/>
  <c r="J54" i="3"/>
  <c r="J62" i="3"/>
  <c r="J70" i="3"/>
  <c r="J78" i="3"/>
  <c r="J86" i="3"/>
  <c r="J94" i="3"/>
  <c r="C8" i="8"/>
  <c r="B15" i="8"/>
  <c r="E18" i="8"/>
  <c r="I18" i="3"/>
  <c r="I82" i="3"/>
  <c r="B36" i="8"/>
  <c r="C36" i="8"/>
  <c r="B43" i="8"/>
  <c r="B29" i="8"/>
  <c r="J7" i="3"/>
  <c r="J15" i="3"/>
  <c r="J23" i="3"/>
  <c r="J31" i="3"/>
  <c r="J39" i="3"/>
  <c r="J47" i="3"/>
  <c r="J55" i="3"/>
  <c r="J63" i="3"/>
  <c r="J71" i="3"/>
  <c r="J79" i="3"/>
  <c r="J87" i="3"/>
  <c r="C5" i="8"/>
  <c r="F8" i="8"/>
  <c r="B12" i="8"/>
  <c r="E15" i="8"/>
  <c r="D22" i="8"/>
  <c r="C15" i="8"/>
  <c r="F18" i="8"/>
  <c r="B22" i="8"/>
  <c r="B5" i="8"/>
  <c r="E8" i="8"/>
  <c r="D15" i="8"/>
  <c r="G18" i="8"/>
  <c r="C22" i="8"/>
  <c r="I16" i="3"/>
  <c r="I24" i="3"/>
  <c r="I32" i="3"/>
  <c r="I40" i="3"/>
  <c r="I48" i="3"/>
  <c r="I56" i="3"/>
  <c r="I64" i="3"/>
  <c r="I72" i="3"/>
  <c r="I80" i="3"/>
  <c r="I88" i="3"/>
  <c r="E5" i="8"/>
  <c r="D12" i="8"/>
  <c r="G15" i="8"/>
  <c r="C19" i="8"/>
  <c r="F22" i="8"/>
  <c r="B26" i="8"/>
  <c r="E29" i="8"/>
  <c r="D36" i="8"/>
  <c r="D43" i="8"/>
  <c r="D8" i="8"/>
  <c r="C29" i="8"/>
  <c r="D5" i="8"/>
  <c r="G8" i="8"/>
  <c r="C12" i="8"/>
  <c r="B19" i="8"/>
  <c r="E22" i="8"/>
  <c r="D29" i="8"/>
  <c r="I8" i="3"/>
  <c r="I10" i="3"/>
  <c r="I26" i="3"/>
  <c r="I34" i="3"/>
  <c r="I42" i="3"/>
  <c r="I50" i="3"/>
  <c r="I58" i="3"/>
  <c r="I66" i="3"/>
  <c r="I74" i="3"/>
  <c r="I90" i="3"/>
  <c r="F5" i="8"/>
  <c r="B9" i="8"/>
  <c r="E12" i="8"/>
  <c r="D19" i="8"/>
  <c r="C26" i="8"/>
  <c r="F29" i="8"/>
  <c r="B33" i="8"/>
  <c r="E36" i="8"/>
  <c r="C9" i="8"/>
  <c r="F12" i="8"/>
  <c r="B16" i="8"/>
  <c r="E19" i="8"/>
  <c r="D26" i="8"/>
  <c r="C33" i="8"/>
  <c r="F36" i="8"/>
  <c r="B40" i="8"/>
  <c r="E43" i="8"/>
  <c r="I9" i="3"/>
  <c r="I17" i="3"/>
  <c r="I25" i="3"/>
  <c r="I33" i="3"/>
  <c r="I41" i="3"/>
  <c r="I49" i="3"/>
  <c r="I57" i="3"/>
  <c r="I65" i="3"/>
  <c r="I73" i="3"/>
  <c r="I81" i="3"/>
  <c r="I89" i="3"/>
  <c r="D9" i="8"/>
  <c r="C16" i="8"/>
  <c r="F19" i="8"/>
  <c r="B23" i="8"/>
  <c r="E26" i="8"/>
  <c r="D33" i="8"/>
  <c r="C40" i="8"/>
  <c r="C20" i="8"/>
  <c r="B10" i="8"/>
  <c r="D20" i="8"/>
  <c r="B34" i="8"/>
  <c r="D44" i="8"/>
  <c r="B20" i="8"/>
  <c r="B41" i="8"/>
  <c r="E44" i="8"/>
  <c r="C34" i="8"/>
  <c r="J11" i="3"/>
  <c r="J19" i="3"/>
  <c r="J27" i="3"/>
  <c r="J35" i="3"/>
  <c r="J43" i="3"/>
  <c r="J51" i="3"/>
  <c r="J59" i="3"/>
  <c r="J67" i="3"/>
  <c r="J75" i="3"/>
  <c r="J83" i="3"/>
  <c r="J91" i="3"/>
  <c r="D10" i="8"/>
  <c r="C17" i="8"/>
  <c r="F20" i="8"/>
  <c r="B24" i="8"/>
  <c r="E27" i="8"/>
  <c r="D34" i="8"/>
  <c r="C41" i="8"/>
  <c r="C27" i="8"/>
  <c r="B17" i="8"/>
  <c r="E20" i="8"/>
  <c r="D27" i="8"/>
  <c r="E10" i="8"/>
  <c r="D17" i="8"/>
  <c r="C24" i="8"/>
  <c r="F27" i="8"/>
  <c r="E34" i="8"/>
  <c r="D41" i="8"/>
  <c r="F10" i="8"/>
  <c r="B14" i="8"/>
  <c r="E17" i="8"/>
  <c r="D24" i="8"/>
  <c r="G27" i="8"/>
  <c r="C31" i="8"/>
  <c r="F34" i="8"/>
  <c r="B38" i="8"/>
  <c r="E41" i="8"/>
  <c r="C10" i="8"/>
  <c r="F17" i="8"/>
  <c r="D14" i="8"/>
  <c r="B28" i="8"/>
  <c r="E31" i="8"/>
  <c r="D38" i="8"/>
  <c r="C45" i="8"/>
  <c r="E38" i="8"/>
  <c r="D45" i="8"/>
  <c r="B18" i="8"/>
  <c r="D28" i="8"/>
  <c r="C35" i="8"/>
  <c r="F38" i="8"/>
  <c r="B42" i="8"/>
  <c r="E45" i="8"/>
  <c r="E28" i="8"/>
  <c r="C42" i="8"/>
  <c r="F45" i="8"/>
  <c r="C18" i="8"/>
</calcChain>
</file>

<file path=xl/sharedStrings.xml><?xml version="1.0" encoding="utf-8"?>
<sst xmlns="http://schemas.openxmlformats.org/spreadsheetml/2006/main" count="102" uniqueCount="94">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</sst>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B5" sqref="B5:H7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/>
      <c r="C5" s="7"/>
      <c r="D5" s="7"/>
      <c r="E5" s="7"/>
      <c r="F5" s="7"/>
      <c r="G5" s="7"/>
      <c r="H5" s="7"/>
      <c r="I5" s="5">
        <f>COUNTIFS(Convocations!$A:$A,A5,Convocations!$C:$C,"Oui")</f>
        <v>0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/>
      <c r="C6" s="7"/>
      <c r="D6" s="7"/>
      <c r="E6" s="7"/>
      <c r="F6" s="7"/>
      <c r="G6" s="7"/>
      <c r="H6" s="7"/>
      <c r="I6" s="5">
        <f>COUNTIFS(Convocations!$A:$A,A6,Convocations!$C:$C,"Oui")</f>
        <v>0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/>
      <c r="C7" s="7"/>
      <c r="D7" s="7"/>
      <c r="E7" s="7"/>
      <c r="F7" s="7"/>
      <c r="G7" s="7"/>
      <c r="H7" s="7"/>
      <c r="I7" s="5">
        <f>COUNTIFS(Convocations!$A:$A,A7,Convocations!$C:$C,"Oui")</f>
        <v>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zoomScaleNormal="100" workbookViewId="0">
      <selection activeCell="A5" sqref="A5:E9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67</v>
      </c>
    </row>
    <row r="2" spans="1:5" ht="15" customHeight="1" x14ac:dyDescent="0.25">
      <c r="A2" s="3" t="s">
        <v>68</v>
      </c>
    </row>
    <row r="4" spans="1:5" ht="15" customHeight="1" x14ac:dyDescent="0.25">
      <c r="A4" s="4" t="s">
        <v>57</v>
      </c>
      <c r="B4" s="4" t="s">
        <v>13</v>
      </c>
      <c r="C4" s="4" t="s">
        <v>69</v>
      </c>
      <c r="D4" s="4" t="s">
        <v>70</v>
      </c>
      <c r="E4" s="4" t="s">
        <v>71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1000000}">
      <formula1>"Oui,Non"</formula1>
      <formula2>0</formula2>
    </dataValidation>
    <dataValidation type="list" allowBlank="1" sqref="E5:E1009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zoomScaleNormal="100" workbookViewId="0">
      <selection activeCell="A5" sqref="A5:E6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1000000}">
      <formula1>"Nous,Adv"</formula1>
      <formula2>0</formula2>
    </dataValidation>
    <dataValidation type="list" allowBlank="1" sqref="E5:E25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78</v>
      </c>
    </row>
    <row r="2" spans="1:4" ht="15" customHeight="1" x14ac:dyDescent="0.25">
      <c r="A2" s="3" t="s">
        <v>79</v>
      </c>
    </row>
    <row r="4" spans="1:4" ht="15" customHeight="1" x14ac:dyDescent="0.25">
      <c r="A4" s="4" t="s">
        <v>57</v>
      </c>
      <c r="B4" s="4" t="s">
        <v>13</v>
      </c>
      <c r="C4" s="4" t="s">
        <v>77</v>
      </c>
      <c r="D4" s="4" t="s">
        <v>80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A5" sqref="A5:D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81</v>
      </c>
    </row>
    <row r="2" spans="1:4" ht="15" customHeight="1" x14ac:dyDescent="0.25">
      <c r="A2" s="3" t="s">
        <v>82</v>
      </c>
    </row>
    <row r="4" spans="1:4" ht="15" customHeight="1" x14ac:dyDescent="0.25">
      <c r="A4" s="4" t="s">
        <v>57</v>
      </c>
      <c r="B4" s="4" t="s">
        <v>83</v>
      </c>
      <c r="C4" s="4" t="s">
        <v>84</v>
      </c>
      <c r="D4" s="4" t="s">
        <v>85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tabSelected="1"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86</v>
      </c>
    </row>
    <row r="2" spans="1:7" ht="15" customHeight="1" x14ac:dyDescent="0.25">
      <c r="A2" s="3" t="s">
        <v>87</v>
      </c>
    </row>
    <row r="4" spans="1:7" ht="23.25" customHeight="1" x14ac:dyDescent="0.25">
      <c r="A4" s="4" t="s">
        <v>13</v>
      </c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93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0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0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0</v>
      </c>
      <c r="C8" s="5">
        <f>COUNTIFS(Convocations!$B:$B,A8,Convocations!$D:$D,"Oui")</f>
        <v>0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0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0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0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0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0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0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0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0</v>
      </c>
      <c r="C18" s="5">
        <f>COUNTIFS(Convocations!$B:$B,A18,Convocations!$D:$D,"Oui")</f>
        <v>0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0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0</v>
      </c>
      <c r="C21" s="5">
        <f>COUNTIFS(Convocations!$B:$B,A21,Convocations!$D:$D,"Oui")</f>
        <v>0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0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0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0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0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0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0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0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0</v>
      </c>
      <c r="C30" s="5">
        <f>COUNTIFS(Convocations!$B:$B,A30,Convocations!$D:$D,"Oui")</f>
        <v>0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0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0</v>
      </c>
      <c r="C32" s="5">
        <f>COUNTIFS(Convocations!$B:$B,A32,Convocations!$D:$D,"Oui")</f>
        <v>0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0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0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0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0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0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0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0</v>
      </c>
      <c r="C43" s="5">
        <f>COUNTIFS(Convocations!$B:$B,A43,Convocations!$D:$D,"Oui")</f>
        <v>0</v>
      </c>
      <c r="D43" s="5">
        <f>COUNTIF(Buts!$B:$B,A43)</f>
        <v>0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0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0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2026-09-15T10:33:14Z</dcterms:created>
  <dcterms:modified xsi:type="dcterms:W3CDTF">2026-09-15T12:40:00Z</dcterms:modified>
  <dc:language>en-US</dc:language>
</cp:coreProperties>
</file>