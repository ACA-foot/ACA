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A5189BA1-A4A0-4F31-A356-AC814B5E5863}" xr6:coauthVersionLast="47" xr6:coauthVersionMax="47" xr10:uidLastSave="{00000000-0000-0000-0000-000000000000}"/>
  <bookViews>
    <workbookView xWindow="28680" yWindow="-120" windowWidth="29040" windowHeight="15720" tabRatio="500" firstSheet="1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5" i="8" l="1"/>
  <c r="F45" i="8" s="1"/>
  <c r="A44" i="8"/>
  <c r="F44" i="8" s="1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A35" i="8"/>
  <c r="C35" i="8" s="1"/>
  <c r="E34" i="8"/>
  <c r="A34" i="8"/>
  <c r="G34" i="8" s="1"/>
  <c r="A33" i="8"/>
  <c r="G33" i="8" s="1"/>
  <c r="G32" i="8"/>
  <c r="A32" i="8"/>
  <c r="F32" i="8" s="1"/>
  <c r="A31" i="8"/>
  <c r="G31" i="8" s="1"/>
  <c r="A30" i="8"/>
  <c r="G30" i="8" s="1"/>
  <c r="F29" i="8"/>
  <c r="C29" i="8"/>
  <c r="A29" i="8"/>
  <c r="G29" i="8" s="1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A25" i="8"/>
  <c r="E25" i="8" s="1"/>
  <c r="G24" i="8"/>
  <c r="F24" i="8"/>
  <c r="A24" i="8"/>
  <c r="E24" i="8" s="1"/>
  <c r="A23" i="8"/>
  <c r="G23" i="8" s="1"/>
  <c r="A22" i="8"/>
  <c r="G22" i="8" s="1"/>
  <c r="A21" i="8"/>
  <c r="F21" i="8" s="1"/>
  <c r="A20" i="8"/>
  <c r="F20" i="8" s="1"/>
  <c r="A19" i="8"/>
  <c r="C19" i="8" s="1"/>
  <c r="A18" i="8"/>
  <c r="C18" i="8" s="1"/>
  <c r="A17" i="8"/>
  <c r="C17" i="8" s="1"/>
  <c r="A16" i="8"/>
  <c r="D16" i="8" s="1"/>
  <c r="A15" i="8"/>
  <c r="C15" i="8" s="1"/>
  <c r="A14" i="8"/>
  <c r="G14" i="8" s="1"/>
  <c r="A13" i="8"/>
  <c r="G13" i="8" s="1"/>
  <c r="A12" i="8"/>
  <c r="G12" i="8" s="1"/>
  <c r="A11" i="8"/>
  <c r="D11" i="8" s="1"/>
  <c r="A10" i="8"/>
  <c r="E10" i="8" s="1"/>
  <c r="A9" i="8"/>
  <c r="F9" i="8" s="1"/>
  <c r="A8" i="8"/>
  <c r="D8" i="8" s="1"/>
  <c r="A7" i="8"/>
  <c r="G7" i="8" s="1"/>
  <c r="A6" i="8"/>
  <c r="F6" i="8" s="1"/>
  <c r="A5" i="8"/>
  <c r="G5" i="8" s="1"/>
  <c r="A94" i="3"/>
  <c r="J94" i="3" s="1"/>
  <c r="A93" i="3"/>
  <c r="J93" i="3" s="1"/>
  <c r="A92" i="3"/>
  <c r="J92" i="3" s="1"/>
  <c r="A91" i="3"/>
  <c r="J91" i="3" s="1"/>
  <c r="A90" i="3"/>
  <c r="J90" i="3" s="1"/>
  <c r="A89" i="3"/>
  <c r="J89" i="3" s="1"/>
  <c r="A88" i="3"/>
  <c r="J88" i="3" s="1"/>
  <c r="A87" i="3"/>
  <c r="I87" i="3" s="1"/>
  <c r="A86" i="3"/>
  <c r="J86" i="3" s="1"/>
  <c r="A85" i="3"/>
  <c r="J85" i="3" s="1"/>
  <c r="A84" i="3"/>
  <c r="J84" i="3" s="1"/>
  <c r="A83" i="3"/>
  <c r="J83" i="3" s="1"/>
  <c r="A82" i="3"/>
  <c r="I82" i="3" s="1"/>
  <c r="A81" i="3"/>
  <c r="J81" i="3" s="1"/>
  <c r="A80" i="3"/>
  <c r="J80" i="3" s="1"/>
  <c r="A79" i="3"/>
  <c r="J79" i="3" s="1"/>
  <c r="A78" i="3"/>
  <c r="J78" i="3" s="1"/>
  <c r="A77" i="3"/>
  <c r="J77" i="3" s="1"/>
  <c r="A76" i="3"/>
  <c r="J76" i="3" s="1"/>
  <c r="A75" i="3"/>
  <c r="J75" i="3" s="1"/>
  <c r="J74" i="3"/>
  <c r="I74" i="3"/>
  <c r="A74" i="3"/>
  <c r="A73" i="3"/>
  <c r="J73" i="3" s="1"/>
  <c r="A72" i="3"/>
  <c r="J72" i="3" s="1"/>
  <c r="A71" i="3"/>
  <c r="J71" i="3" s="1"/>
  <c r="A70" i="3"/>
  <c r="J70" i="3" s="1"/>
  <c r="A69" i="3"/>
  <c r="J69" i="3" s="1"/>
  <c r="A68" i="3"/>
  <c r="J68" i="3" s="1"/>
  <c r="A67" i="3"/>
  <c r="J67" i="3" s="1"/>
  <c r="A66" i="3"/>
  <c r="J66" i="3" s="1"/>
  <c r="A65" i="3"/>
  <c r="J65" i="3" s="1"/>
  <c r="A64" i="3"/>
  <c r="J64" i="3" s="1"/>
  <c r="A63" i="3"/>
  <c r="J63" i="3" s="1"/>
  <c r="A62" i="3"/>
  <c r="J62" i="3" s="1"/>
  <c r="A61" i="3"/>
  <c r="J61" i="3" s="1"/>
  <c r="A60" i="3"/>
  <c r="J60" i="3" s="1"/>
  <c r="A59" i="3"/>
  <c r="J59" i="3" s="1"/>
  <c r="A58" i="3"/>
  <c r="J58" i="3" s="1"/>
  <c r="J57" i="3"/>
  <c r="A57" i="3"/>
  <c r="I57" i="3" s="1"/>
  <c r="A56" i="3"/>
  <c r="J56" i="3" s="1"/>
  <c r="A55" i="3"/>
  <c r="J55" i="3" s="1"/>
  <c r="A54" i="3"/>
  <c r="J54" i="3" s="1"/>
  <c r="A53" i="3"/>
  <c r="J53" i="3" s="1"/>
  <c r="A52" i="3"/>
  <c r="J52" i="3" s="1"/>
  <c r="A51" i="3"/>
  <c r="J51" i="3" s="1"/>
  <c r="A50" i="3"/>
  <c r="J50" i="3" s="1"/>
  <c r="J49" i="3"/>
  <c r="I49" i="3"/>
  <c r="A49" i="3"/>
  <c r="A48" i="3"/>
  <c r="J48" i="3" s="1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J40" i="3" s="1"/>
  <c r="A39" i="3"/>
  <c r="J39" i="3" s="1"/>
  <c r="I38" i="3"/>
  <c r="A38" i="3"/>
  <c r="J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J24" i="3" s="1"/>
  <c r="A23" i="3"/>
  <c r="I23" i="3" s="1"/>
  <c r="A22" i="3"/>
  <c r="J22" i="3" s="1"/>
  <c r="A21" i="3"/>
  <c r="J21" i="3" s="1"/>
  <c r="A20" i="3"/>
  <c r="J20" i="3" s="1"/>
  <c r="A19" i="3"/>
  <c r="J19" i="3" s="1"/>
  <c r="J18" i="3"/>
  <c r="A18" i="3"/>
  <c r="I18" i="3" s="1"/>
  <c r="A17" i="3"/>
  <c r="I17" i="3" s="1"/>
  <c r="A16" i="3"/>
  <c r="J16" i="3" s="1"/>
  <c r="A15" i="3"/>
  <c r="J15" i="3" s="1"/>
  <c r="A14" i="3"/>
  <c r="J14" i="3" s="1"/>
  <c r="A13" i="3"/>
  <c r="J13" i="3" s="1"/>
  <c r="A12" i="3"/>
  <c r="J12" i="3" s="1"/>
  <c r="A11" i="3"/>
  <c r="J11" i="3" s="1"/>
  <c r="J10" i="3"/>
  <c r="I10" i="3"/>
  <c r="A10" i="3"/>
  <c r="A9" i="3"/>
  <c r="I9" i="3" s="1"/>
  <c r="A8" i="3"/>
  <c r="J8" i="3" s="1"/>
  <c r="A7" i="3"/>
  <c r="I7" i="3" s="1"/>
  <c r="A6" i="3"/>
  <c r="J6" i="3" s="1"/>
  <c r="A5" i="3"/>
  <c r="J5" i="3" s="1"/>
  <c r="D7" i="8" l="1"/>
  <c r="E16" i="8"/>
  <c r="B23" i="8"/>
  <c r="I15" i="3"/>
  <c r="J87" i="3"/>
  <c r="B8" i="8"/>
  <c r="F23" i="8"/>
  <c r="F17" i="8"/>
  <c r="C20" i="8"/>
  <c r="B30" i="8"/>
  <c r="J23" i="3"/>
  <c r="I78" i="3"/>
  <c r="D5" i="8"/>
  <c r="B13" i="8"/>
  <c r="G20" i="8"/>
  <c r="B25" i="8"/>
  <c r="C30" i="8"/>
  <c r="E5" i="8"/>
  <c r="C13" i="8"/>
  <c r="I55" i="3"/>
  <c r="G8" i="8"/>
  <c r="G17" i="8"/>
  <c r="B24" i="8"/>
  <c r="B29" i="8"/>
  <c r="B20" i="8"/>
  <c r="B22" i="8"/>
  <c r="G25" i="8"/>
  <c r="G9" i="8"/>
  <c r="G18" i="8"/>
  <c r="D24" i="8"/>
  <c r="D29" i="8"/>
  <c r="F16" i="8"/>
  <c r="F7" i="8"/>
  <c r="D23" i="8"/>
  <c r="F8" i="8"/>
  <c r="C24" i="8"/>
  <c r="E29" i="8"/>
  <c r="C5" i="8"/>
  <c r="B31" i="8"/>
  <c r="D6" i="8"/>
  <c r="D15" i="8"/>
  <c r="D22" i="8"/>
  <c r="C31" i="8"/>
  <c r="C6" i="8"/>
  <c r="C22" i="8"/>
  <c r="B43" i="8"/>
  <c r="D43" i="8"/>
  <c r="E6" i="8"/>
  <c r="E15" i="8"/>
  <c r="E22" i="8"/>
  <c r="F15" i="8"/>
  <c r="F22" i="8"/>
  <c r="F31" i="8"/>
  <c r="I66" i="3"/>
  <c r="B7" i="8"/>
  <c r="G15" i="8"/>
  <c r="I50" i="3"/>
  <c r="C7" i="8"/>
  <c r="B33" i="8"/>
  <c r="C44" i="8"/>
  <c r="B5" i="8"/>
  <c r="C25" i="8"/>
  <c r="E30" i="8"/>
  <c r="I79" i="3"/>
  <c r="F5" i="8"/>
  <c r="D13" i="8"/>
  <c r="F25" i="8"/>
  <c r="F30" i="8"/>
  <c r="I25" i="3"/>
  <c r="I62" i="3"/>
  <c r="E31" i="8"/>
  <c r="J82" i="3"/>
  <c r="G44" i="8"/>
  <c r="D45" i="8"/>
  <c r="E7" i="8"/>
  <c r="C23" i="8"/>
  <c r="G16" i="8"/>
  <c r="E23" i="8"/>
  <c r="I71" i="3"/>
  <c r="D17" i="8"/>
  <c r="I54" i="3"/>
  <c r="E8" i="8"/>
  <c r="E17" i="8"/>
  <c r="F28" i="8"/>
  <c r="B35" i="8"/>
  <c r="G45" i="8"/>
  <c r="J7" i="3"/>
  <c r="I33" i="3"/>
  <c r="J41" i="3"/>
  <c r="I46" i="3"/>
  <c r="I58" i="3"/>
  <c r="I63" i="3"/>
  <c r="I89" i="3"/>
  <c r="I30" i="3"/>
  <c r="I42" i="3"/>
  <c r="I47" i="3"/>
  <c r="I81" i="3"/>
  <c r="I94" i="3"/>
  <c r="J17" i="3"/>
  <c r="I22" i="3"/>
  <c r="I34" i="3"/>
  <c r="I39" i="3"/>
  <c r="I73" i="3"/>
  <c r="I86" i="3"/>
  <c r="J9" i="3"/>
  <c r="I14" i="3"/>
  <c r="I26" i="3"/>
  <c r="I31" i="3"/>
  <c r="I65" i="3"/>
  <c r="I90" i="3"/>
  <c r="I6" i="3"/>
  <c r="I70" i="3"/>
  <c r="B11" i="8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<sst xmlns="http://schemas.openxmlformats.org/spreadsheetml/2006/main" count="432" uniqueCount="107">
  <si>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</si>
  <si>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</si>
  <si>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</si>
  <si>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</si>
  <si>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</si>
  <si>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</si>
  <si>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</si>
  <si>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</si>
  <si>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</si>
  <si>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</si>
  <si>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</si>
  <si>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</si>
  <si>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</si>
  <si>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</si>
  <si>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</si>
  <si>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</si>
  <si>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</si>
  <si>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</si>
  <si>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</si>
  <si>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</si>
  <si>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</si>
  <si>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</si>
  <si>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</si>
  <si>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</si>
  <si>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</si>
  <si>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</si>
  <si>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</si>
  <si>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</si>
  <si>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</si>
  <si>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</si>
  <si>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</si>
  <si>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</si>
  <si>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</si>
  <si>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</si>
  <si>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</si>
  <si>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</si>
  <si>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</si>
  <si>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</si>
  <si>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</si>
  <si>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</si>
  <si>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</si>
  <si>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</si>
  <si>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</si>
  <si>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</si>
  <si>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</si>
  <si>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</si>
  <si>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</si>
  <si>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</si>
  <si>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</si>
  <si>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</si>
  <si>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</si>
  <si>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</si>
  <si>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</si>
  <si>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</si>
  <si>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</si>
  <si>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</si>
  <si>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</si>
  <si>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</si>
  <si>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</si>
  <si>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</si>
  <si>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</si>
  <si>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</si>
  <si>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</si>
  <si>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</si>
  <si>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</si>
  <si>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</si>
  <si>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</si>
  <si>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</si>
  <si>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</si>
  <si>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</si>
  <si>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</si>
  <si>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</si>
  <si>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</si>
  <si>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</si>
  <si>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</si>
  <si>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</si>
  <si>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</si>
  <si>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</si>
  <si>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</si>
  <si>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</si>
  <si>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</si>
  <si>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</si>
  <si>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</si>
  <si>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</si>
  <si>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</si>
  <si>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</si>
  <si>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</si>
  <si>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</si>
  <si>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</si>
  <si>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</si>
  <si>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</si>
  <si>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</si>
  <si>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</si>
  <si>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</si>
  <si>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</si>
  <si>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</si>
  <si>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</si>
  <si>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</si>
  <si>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</si>
  <si>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</si>
  <si>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WHIR AU VAL</t>
  </si>
  <si>
    <t>ANDOLSHEIM</t>
  </si>
  <si>
    <t>INGERSHEIM</t>
  </si>
  <si>
    <t>CANTON VERT</t>
  </si>
  <si>
    <t>GRUSSENHEIM</t>
  </si>
  <si>
    <t>COLMAR</t>
  </si>
  <si>
    <t>ORBEY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</si>
</sst>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H18" sqref="H18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6">
        <v>46291</v>
      </c>
      <c r="C8" s="7" t="s">
        <v>67</v>
      </c>
      <c r="D8" s="7"/>
      <c r="E8" s="7"/>
      <c r="F8" s="7" t="s">
        <v>101</v>
      </c>
      <c r="G8" s="7"/>
      <c r="H8" s="7"/>
      <c r="I8" s="5">
        <f>COUNTIFS(Convocations!$A:$A,A8,Convocations!$C:$C,"Oui")</f>
        <v>11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6">
        <v>46291</v>
      </c>
      <c r="C9" s="7" t="s">
        <v>69</v>
      </c>
      <c r="D9" s="7"/>
      <c r="E9" s="7"/>
      <c r="F9" s="7" t="s">
        <v>102</v>
      </c>
      <c r="G9" s="7"/>
      <c r="H9" s="7"/>
      <c r="I9" s="5">
        <f>COUNTIFS(Convocations!$A:$A,A9,Convocations!$C:$C,"Oui")</f>
        <v>11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6">
        <v>46291</v>
      </c>
      <c r="C10" s="7" t="s">
        <v>71</v>
      </c>
      <c r="D10" s="7"/>
      <c r="E10" s="7"/>
      <c r="F10" s="7" t="s">
        <v>100</v>
      </c>
      <c r="G10" s="7"/>
      <c r="H10" s="7"/>
      <c r="I10" s="5">
        <f>COUNTIFS(Convocations!$A:$A,A10,Convocations!$C:$C,"Oui")</f>
        <v>11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6">
        <v>46298</v>
      </c>
      <c r="C11" s="7" t="s">
        <v>67</v>
      </c>
      <c r="D11" s="7"/>
      <c r="E11" s="7"/>
      <c r="F11" s="7" t="s">
        <v>103</v>
      </c>
      <c r="G11" s="7"/>
      <c r="H11" s="7"/>
      <c r="I11" s="5">
        <f>COUNTIFS(Convocations!$A:$A,A11,Convocations!$C:$C,"Oui")</f>
        <v>10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6">
        <v>46298</v>
      </c>
      <c r="C12" s="7" t="s">
        <v>69</v>
      </c>
      <c r="D12" s="7"/>
      <c r="E12" s="7"/>
      <c r="F12" s="7" t="s">
        <v>104</v>
      </c>
      <c r="G12" s="7"/>
      <c r="H12" s="7"/>
      <c r="I12" s="5">
        <f>COUNTIFS(Convocations!$A:$A,A12,Convocations!$C:$C,"Oui")</f>
        <v>12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6">
        <v>46298</v>
      </c>
      <c r="C13" s="7" t="s">
        <v>71</v>
      </c>
      <c r="D13" s="7"/>
      <c r="E13" s="7"/>
      <c r="F13" s="7" t="s">
        <v>70</v>
      </c>
      <c r="G13" s="7"/>
      <c r="H13" s="7"/>
      <c r="I13" s="5">
        <f>COUNTIFS(Convocations!$A:$A,A13,Convocations!$C:$C,"Oui")</f>
        <v>12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6">
        <v>46305</v>
      </c>
      <c r="C14" s="7" t="s">
        <v>67</v>
      </c>
      <c r="D14" s="7"/>
      <c r="E14" s="7"/>
      <c r="F14" s="7" t="s">
        <v>70</v>
      </c>
      <c r="G14" s="7"/>
      <c r="H14" s="7"/>
      <c r="I14" s="5">
        <f>COUNTIFS(Convocations!$A:$A,A14,Convocations!$C:$C,"Oui")</f>
        <v>11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6">
        <v>46305</v>
      </c>
      <c r="C15" s="7" t="s">
        <v>69</v>
      </c>
      <c r="D15" s="7"/>
      <c r="E15" s="7"/>
      <c r="F15" s="7" t="s">
        <v>105</v>
      </c>
      <c r="G15" s="7"/>
      <c r="H15" s="7"/>
      <c r="I15" s="5">
        <f>COUNTIFS(Convocations!$A:$A,A15,Convocations!$C:$C,"Oui")</f>
        <v>10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6">
        <v>46305</v>
      </c>
      <c r="C16" s="7" t="s">
        <v>71</v>
      </c>
      <c r="D16" s="7"/>
      <c r="E16" s="7"/>
      <c r="F16" s="7" t="s">
        <v>106</v>
      </c>
      <c r="G16" s="7"/>
      <c r="H16" s="7"/>
      <c r="I16" s="5">
        <f>COUNTIFS(Convocations!$A:$A,A16,Convocations!$C:$C,"Oui")</f>
        <v>12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3"/>
  <sheetViews>
    <sheetView topLeftCell="A105" zoomScaleNormal="100" workbookViewId="0">
      <selection activeCell="B138" sqref="B138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 x14ac:dyDescent="0.25">
      <c r="A37" s="7">
        <v>4</v>
      </c>
      <c r="B37" s="7" t="s">
        <v>52</v>
      </c>
      <c r="C37" s="7" t="s">
        <v>77</v>
      </c>
      <c r="D37" s="7"/>
      <c r="E37" s="7"/>
    </row>
    <row r="38" spans="1:5" ht="15" customHeight="1" x14ac:dyDescent="0.25">
      <c r="A38" s="7">
        <v>4</v>
      </c>
      <c r="B38" s="7" t="s">
        <v>30</v>
      </c>
      <c r="C38" s="7" t="s">
        <v>77</v>
      </c>
      <c r="D38" s="7"/>
      <c r="E38" s="7"/>
    </row>
    <row r="39" spans="1:5" ht="15" customHeight="1" x14ac:dyDescent="0.25">
      <c r="A39" s="7">
        <v>4</v>
      </c>
      <c r="B39" s="7" t="s">
        <v>37</v>
      </c>
      <c r="C39" s="7" t="s">
        <v>77</v>
      </c>
      <c r="D39" s="7"/>
      <c r="E39" s="7"/>
    </row>
    <row r="40" spans="1:5" ht="15" customHeight="1" x14ac:dyDescent="0.25">
      <c r="A40" s="7">
        <v>4</v>
      </c>
      <c r="B40" s="7" t="s">
        <v>44</v>
      </c>
      <c r="C40" s="7" t="s">
        <v>77</v>
      </c>
      <c r="D40" s="7"/>
      <c r="E40" s="7"/>
    </row>
    <row r="41" spans="1:5" ht="15" customHeight="1" x14ac:dyDescent="0.25">
      <c r="A41" s="7">
        <v>4</v>
      </c>
      <c r="B41" s="7" t="s">
        <v>14</v>
      </c>
      <c r="C41" s="7" t="s">
        <v>77</v>
      </c>
      <c r="D41" s="7"/>
      <c r="E41" s="7"/>
    </row>
    <row r="42" spans="1:5" ht="15" customHeight="1" x14ac:dyDescent="0.25">
      <c r="A42" s="7">
        <v>4</v>
      </c>
      <c r="B42" s="7" t="s">
        <v>17</v>
      </c>
      <c r="C42" s="7" t="s">
        <v>77</v>
      </c>
      <c r="D42" s="7"/>
      <c r="E42" s="7"/>
    </row>
    <row r="43" spans="1:5" ht="15" customHeight="1" x14ac:dyDescent="0.25">
      <c r="A43" s="7">
        <v>4</v>
      </c>
      <c r="B43" s="7" t="s">
        <v>27</v>
      </c>
      <c r="C43" s="7" t="s">
        <v>77</v>
      </c>
      <c r="D43" s="7"/>
      <c r="E43" s="7"/>
    </row>
    <row r="44" spans="1:5" ht="15" customHeight="1" x14ac:dyDescent="0.25">
      <c r="A44" s="7">
        <v>4</v>
      </c>
      <c r="B44" s="7" t="s">
        <v>41</v>
      </c>
      <c r="C44" s="7" t="s">
        <v>77</v>
      </c>
      <c r="D44" s="7"/>
      <c r="E44" s="7"/>
    </row>
    <row r="45" spans="1:5" ht="15" customHeight="1" x14ac:dyDescent="0.25">
      <c r="A45" s="7">
        <v>4</v>
      </c>
      <c r="B45" s="7" t="s">
        <v>35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22</v>
      </c>
      <c r="C46" s="7" t="s">
        <v>77</v>
      </c>
      <c r="D46" s="7"/>
      <c r="E46" s="7"/>
    </row>
    <row r="47" spans="1:5" ht="15" customHeight="1" x14ac:dyDescent="0.25">
      <c r="A47" s="7">
        <v>4</v>
      </c>
      <c r="B47" s="7" t="s">
        <v>16</v>
      </c>
      <c r="C47" s="7" t="s">
        <v>77</v>
      </c>
      <c r="D47" s="7"/>
      <c r="E47" s="7"/>
    </row>
    <row r="48" spans="1:5" ht="15" customHeight="1" x14ac:dyDescent="0.25">
      <c r="A48" s="7">
        <v>5</v>
      </c>
      <c r="B48" s="7" t="s">
        <v>28</v>
      </c>
      <c r="C48" s="7" t="s">
        <v>77</v>
      </c>
      <c r="D48" s="7"/>
      <c r="E48" s="7"/>
    </row>
    <row r="49" spans="1:5" ht="15" customHeight="1" x14ac:dyDescent="0.25">
      <c r="A49" s="7">
        <v>5</v>
      </c>
      <c r="B49" s="7" t="s">
        <v>15</v>
      </c>
      <c r="C49" s="7" t="s">
        <v>77</v>
      </c>
      <c r="D49" s="7"/>
      <c r="E49" s="7"/>
    </row>
    <row r="50" spans="1:5" ht="15" customHeight="1" x14ac:dyDescent="0.25">
      <c r="A50" s="7">
        <v>5</v>
      </c>
      <c r="B50" s="7" t="s">
        <v>42</v>
      </c>
      <c r="C50" s="7" t="s">
        <v>77</v>
      </c>
      <c r="D50" s="7"/>
      <c r="E50" s="7"/>
    </row>
    <row r="51" spans="1:5" ht="15" customHeight="1" x14ac:dyDescent="0.25">
      <c r="A51" s="7">
        <v>5</v>
      </c>
      <c r="B51" s="7" t="s">
        <v>39</v>
      </c>
      <c r="C51" s="7" t="s">
        <v>77</v>
      </c>
      <c r="D51" s="7"/>
      <c r="E51" s="7"/>
    </row>
    <row r="52" spans="1:5" ht="15" customHeight="1" x14ac:dyDescent="0.25">
      <c r="A52" s="7">
        <v>5</v>
      </c>
      <c r="B52" s="7" t="s">
        <v>45</v>
      </c>
      <c r="C52" s="7" t="s">
        <v>77</v>
      </c>
      <c r="D52" s="7"/>
      <c r="E52" s="7"/>
    </row>
    <row r="53" spans="1:5" ht="15" customHeight="1" x14ac:dyDescent="0.25">
      <c r="A53" s="7">
        <v>5</v>
      </c>
      <c r="B53" s="7" t="s">
        <v>20</v>
      </c>
      <c r="C53" s="7" t="s">
        <v>77</v>
      </c>
      <c r="D53" s="7"/>
      <c r="E53" s="7"/>
    </row>
    <row r="54" spans="1:5" ht="15" customHeight="1" x14ac:dyDescent="0.25">
      <c r="A54" s="7">
        <v>5</v>
      </c>
      <c r="B54" s="7" t="s">
        <v>40</v>
      </c>
      <c r="C54" s="7" t="s">
        <v>77</v>
      </c>
      <c r="D54" s="7"/>
      <c r="E54" s="7"/>
    </row>
    <row r="55" spans="1:5" ht="15" customHeight="1" x14ac:dyDescent="0.25">
      <c r="A55" s="7">
        <v>5</v>
      </c>
      <c r="B55" s="7" t="s">
        <v>33</v>
      </c>
      <c r="C55" s="7" t="s">
        <v>77</v>
      </c>
      <c r="D55" s="7"/>
      <c r="E55" s="7"/>
    </row>
    <row r="56" spans="1:5" ht="15" customHeight="1" x14ac:dyDescent="0.25">
      <c r="A56" s="7">
        <v>5</v>
      </c>
      <c r="B56" s="7" t="s">
        <v>50</v>
      </c>
      <c r="C56" s="7" t="s">
        <v>77</v>
      </c>
      <c r="D56" s="7"/>
      <c r="E56" s="7"/>
    </row>
    <row r="57" spans="1:5" ht="15" customHeight="1" x14ac:dyDescent="0.25">
      <c r="A57" s="7">
        <v>5</v>
      </c>
      <c r="B57" s="7" t="s">
        <v>54</v>
      </c>
      <c r="C57" s="7" t="s">
        <v>77</v>
      </c>
      <c r="D57" s="7"/>
      <c r="E57" s="7"/>
    </row>
    <row r="58" spans="1:5" ht="15" customHeight="1" x14ac:dyDescent="0.25">
      <c r="A58" s="7">
        <v>5</v>
      </c>
      <c r="B58" s="7" t="s">
        <v>36</v>
      </c>
      <c r="C58" s="7" t="s">
        <v>77</v>
      </c>
      <c r="D58" s="7"/>
      <c r="E58" s="7"/>
    </row>
    <row r="59" spans="1:5" ht="15" customHeight="1" x14ac:dyDescent="0.25">
      <c r="A59" s="7">
        <v>6</v>
      </c>
      <c r="B59" s="7" t="s">
        <v>24</v>
      </c>
      <c r="C59" s="7" t="s">
        <v>77</v>
      </c>
      <c r="D59" s="7"/>
      <c r="E59" s="7"/>
    </row>
    <row r="60" spans="1:5" ht="15" customHeight="1" x14ac:dyDescent="0.25">
      <c r="A60" s="7">
        <v>6</v>
      </c>
      <c r="B60" s="7" t="s">
        <v>43</v>
      </c>
      <c r="C60" s="7" t="s">
        <v>77</v>
      </c>
      <c r="D60" s="7"/>
      <c r="E60" s="7"/>
    </row>
    <row r="61" spans="1:5" ht="15" customHeight="1" x14ac:dyDescent="0.25">
      <c r="A61" s="7">
        <v>6</v>
      </c>
      <c r="B61" s="7" t="s">
        <v>18</v>
      </c>
      <c r="C61" s="7" t="s">
        <v>77</v>
      </c>
      <c r="D61" s="7"/>
      <c r="E61" s="7"/>
    </row>
    <row r="62" spans="1:5" ht="15" customHeight="1" x14ac:dyDescent="0.25">
      <c r="A62" s="7">
        <v>6</v>
      </c>
      <c r="B62" s="7" t="s">
        <v>53</v>
      </c>
      <c r="C62" s="7" t="s">
        <v>77</v>
      </c>
      <c r="D62" s="7"/>
      <c r="E62" s="7"/>
    </row>
    <row r="63" spans="1:5" ht="15" customHeight="1" x14ac:dyDescent="0.25">
      <c r="A63" s="7">
        <v>6</v>
      </c>
      <c r="B63" s="7" t="s">
        <v>47</v>
      </c>
      <c r="C63" s="7" t="s">
        <v>77</v>
      </c>
      <c r="D63" s="7"/>
      <c r="E63" s="7"/>
    </row>
    <row r="64" spans="1:5" ht="15" customHeight="1" x14ac:dyDescent="0.25">
      <c r="A64" s="7">
        <v>6</v>
      </c>
      <c r="B64" s="7" t="s">
        <v>31</v>
      </c>
      <c r="C64" s="7" t="s">
        <v>77</v>
      </c>
      <c r="D64" s="7"/>
      <c r="E64" s="7"/>
    </row>
    <row r="65" spans="1:5" ht="15" customHeight="1" x14ac:dyDescent="0.25">
      <c r="A65" s="7">
        <v>6</v>
      </c>
      <c r="B65" s="7" t="s">
        <v>51</v>
      </c>
      <c r="C65" s="7" t="s">
        <v>77</v>
      </c>
      <c r="D65" s="7"/>
      <c r="E65" s="7"/>
    </row>
    <row r="66" spans="1:5" ht="15" customHeight="1" x14ac:dyDescent="0.25">
      <c r="A66" s="7">
        <v>6</v>
      </c>
      <c r="B66" s="7" t="s">
        <v>26</v>
      </c>
      <c r="C66" s="7" t="s">
        <v>77</v>
      </c>
      <c r="D66" s="7"/>
      <c r="E66" s="7"/>
    </row>
    <row r="67" spans="1:5" ht="15" customHeight="1" x14ac:dyDescent="0.25">
      <c r="A67" s="7">
        <v>6</v>
      </c>
      <c r="B67" s="7" t="s">
        <v>38</v>
      </c>
      <c r="C67" s="7" t="s">
        <v>77</v>
      </c>
      <c r="D67" s="7"/>
      <c r="E67" s="7"/>
    </row>
    <row r="68" spans="1:5" ht="15" customHeight="1" x14ac:dyDescent="0.25">
      <c r="A68" s="7">
        <v>6</v>
      </c>
      <c r="B68" s="7" t="s">
        <v>19</v>
      </c>
      <c r="C68" s="7" t="s">
        <v>77</v>
      </c>
      <c r="D68" s="7"/>
      <c r="E68" s="7"/>
    </row>
    <row r="69" spans="1:5" ht="15" customHeight="1" x14ac:dyDescent="0.25">
      <c r="A69" s="7">
        <v>6</v>
      </c>
      <c r="B69" s="7" t="s">
        <v>23</v>
      </c>
      <c r="C69" s="7" t="s">
        <v>77</v>
      </c>
      <c r="D69" s="7"/>
      <c r="E69" s="7"/>
    </row>
    <row r="70" spans="1:5" ht="15" customHeight="1" x14ac:dyDescent="0.25">
      <c r="A70" s="7">
        <v>7</v>
      </c>
      <c r="B70" s="7" t="s">
        <v>36</v>
      </c>
      <c r="C70" s="7" t="s">
        <v>77</v>
      </c>
      <c r="D70" s="7"/>
      <c r="E70" s="7"/>
    </row>
    <row r="71" spans="1:5" ht="15" customHeight="1" x14ac:dyDescent="0.25">
      <c r="A71" s="7">
        <v>7</v>
      </c>
      <c r="B71" s="7" t="s">
        <v>43</v>
      </c>
      <c r="C71" s="7" t="s">
        <v>77</v>
      </c>
      <c r="D71" s="7"/>
      <c r="E71" s="7"/>
    </row>
    <row r="72" spans="1:5" ht="15" customHeight="1" x14ac:dyDescent="0.25">
      <c r="A72" s="7">
        <v>7</v>
      </c>
      <c r="B72" s="7" t="s">
        <v>37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44</v>
      </c>
      <c r="C73" s="7" t="s">
        <v>77</v>
      </c>
      <c r="D73" s="7"/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/>
      <c r="E74" s="7"/>
    </row>
    <row r="75" spans="1:5" ht="15" customHeight="1" x14ac:dyDescent="0.25">
      <c r="A75" s="7">
        <v>7</v>
      </c>
      <c r="B75" s="7" t="s">
        <v>16</v>
      </c>
      <c r="C75" s="7" t="s">
        <v>77</v>
      </c>
      <c r="D75" s="7"/>
      <c r="E75" s="7"/>
    </row>
    <row r="76" spans="1:5" ht="15" customHeight="1" x14ac:dyDescent="0.25">
      <c r="A76" s="7">
        <v>7</v>
      </c>
      <c r="B76" s="7" t="s">
        <v>27</v>
      </c>
      <c r="C76" s="7" t="s">
        <v>77</v>
      </c>
      <c r="D76" s="7"/>
      <c r="E76" s="7"/>
    </row>
    <row r="77" spans="1:5" ht="15" customHeight="1" x14ac:dyDescent="0.25">
      <c r="A77" s="7">
        <v>7</v>
      </c>
      <c r="B77" s="7" t="s">
        <v>41</v>
      </c>
      <c r="C77" s="7" t="s">
        <v>77</v>
      </c>
      <c r="D77" s="7"/>
      <c r="E77" s="7"/>
    </row>
    <row r="78" spans="1:5" ht="15" customHeight="1" x14ac:dyDescent="0.25">
      <c r="A78" s="7">
        <v>7</v>
      </c>
      <c r="B78" s="7" t="s">
        <v>35</v>
      </c>
      <c r="C78" s="7" t="s">
        <v>77</v>
      </c>
      <c r="D78" s="7"/>
      <c r="E78" s="7"/>
    </row>
    <row r="79" spans="1:5" ht="15" customHeight="1" x14ac:dyDescent="0.25">
      <c r="A79" s="7">
        <v>7</v>
      </c>
      <c r="B79" s="7" t="s">
        <v>22</v>
      </c>
      <c r="C79" s="7" t="s">
        <v>77</v>
      </c>
      <c r="D79" s="7"/>
      <c r="E79" s="7"/>
    </row>
    <row r="80" spans="1:5" ht="15" customHeight="1" x14ac:dyDescent="0.25">
      <c r="A80" s="7">
        <v>8</v>
      </c>
      <c r="B80" s="7" t="s">
        <v>46</v>
      </c>
      <c r="C80" s="7" t="s">
        <v>77</v>
      </c>
      <c r="D80" s="7"/>
      <c r="E80" s="7"/>
    </row>
    <row r="81" spans="1:5" ht="15" customHeight="1" x14ac:dyDescent="0.25">
      <c r="A81" s="7">
        <v>8</v>
      </c>
      <c r="B81" s="7" t="s">
        <v>15</v>
      </c>
      <c r="C81" s="7" t="s">
        <v>77</v>
      </c>
      <c r="D81" s="7"/>
      <c r="E81" s="7"/>
    </row>
    <row r="82" spans="1:5" ht="15" customHeight="1" x14ac:dyDescent="0.25">
      <c r="A82" s="7">
        <v>8</v>
      </c>
      <c r="B82" s="7" t="s">
        <v>42</v>
      </c>
      <c r="C82" s="7" t="s">
        <v>77</v>
      </c>
      <c r="D82" s="7"/>
      <c r="E82" s="7"/>
    </row>
    <row r="83" spans="1:5" ht="15" customHeight="1" x14ac:dyDescent="0.25">
      <c r="A83" s="7">
        <v>8</v>
      </c>
      <c r="B83" s="7" t="s">
        <v>39</v>
      </c>
      <c r="C83" s="7" t="s">
        <v>77</v>
      </c>
      <c r="D83" s="7"/>
      <c r="E83" s="7"/>
    </row>
    <row r="84" spans="1:5" ht="15" customHeight="1" x14ac:dyDescent="0.25">
      <c r="A84" s="7">
        <v>8</v>
      </c>
      <c r="B84" s="7" t="s">
        <v>45</v>
      </c>
      <c r="C84" s="7" t="s">
        <v>77</v>
      </c>
      <c r="D84" s="7"/>
      <c r="E84" s="7"/>
    </row>
    <row r="85" spans="1:5" ht="15" customHeight="1" x14ac:dyDescent="0.25">
      <c r="A85" s="7">
        <v>8</v>
      </c>
      <c r="B85" s="7" t="s">
        <v>34</v>
      </c>
      <c r="C85" s="7" t="s">
        <v>77</v>
      </c>
      <c r="D85" s="7"/>
      <c r="E85" s="7"/>
    </row>
    <row r="86" spans="1:5" ht="15" customHeight="1" x14ac:dyDescent="0.25">
      <c r="A86" s="7">
        <v>8</v>
      </c>
      <c r="B86" s="7" t="s">
        <v>40</v>
      </c>
      <c r="C86" s="7" t="s">
        <v>77</v>
      </c>
      <c r="D86" s="7"/>
      <c r="E86" s="7"/>
    </row>
    <row r="87" spans="1:5" ht="15" customHeight="1" x14ac:dyDescent="0.25">
      <c r="A87" s="7">
        <v>8</v>
      </c>
      <c r="B87" s="7" t="s">
        <v>33</v>
      </c>
      <c r="C87" s="7" t="s">
        <v>77</v>
      </c>
      <c r="D87" s="7"/>
      <c r="E87" s="7"/>
    </row>
    <row r="88" spans="1:5" ht="15" customHeight="1" x14ac:dyDescent="0.25">
      <c r="A88" s="7">
        <v>8</v>
      </c>
      <c r="B88" s="7" t="s">
        <v>50</v>
      </c>
      <c r="C88" s="7" t="s">
        <v>77</v>
      </c>
      <c r="D88" s="7"/>
      <c r="E88" s="7"/>
    </row>
    <row r="89" spans="1:5" ht="15" customHeight="1" x14ac:dyDescent="0.25">
      <c r="A89" s="7">
        <v>8</v>
      </c>
      <c r="B89" s="7" t="s">
        <v>54</v>
      </c>
      <c r="C89" s="7" t="s">
        <v>77</v>
      </c>
      <c r="D89" s="7"/>
      <c r="E89" s="7"/>
    </row>
    <row r="90" spans="1:5" ht="15" customHeight="1" x14ac:dyDescent="0.25">
      <c r="A90" s="7">
        <v>8</v>
      </c>
      <c r="B90" s="7" t="s">
        <v>48</v>
      </c>
      <c r="C90" s="7" t="s">
        <v>77</v>
      </c>
      <c r="D90" s="7"/>
      <c r="E90" s="7"/>
    </row>
    <row r="91" spans="1:5" ht="15" customHeight="1" x14ac:dyDescent="0.25">
      <c r="A91" s="7">
        <v>8</v>
      </c>
      <c r="B91" s="7" t="s">
        <v>49</v>
      </c>
      <c r="C91" s="7" t="s">
        <v>77</v>
      </c>
      <c r="D91" s="7"/>
      <c r="E91" s="7"/>
    </row>
    <row r="92" spans="1:5" ht="15" customHeight="1" x14ac:dyDescent="0.25">
      <c r="A92" s="7">
        <v>9</v>
      </c>
      <c r="B92" s="7" t="s">
        <v>24</v>
      </c>
      <c r="C92" s="7" t="s">
        <v>77</v>
      </c>
      <c r="D92" s="7"/>
      <c r="E92" s="7"/>
    </row>
    <row r="93" spans="1:5" ht="15" customHeight="1" x14ac:dyDescent="0.25">
      <c r="A93" s="7">
        <v>9</v>
      </c>
      <c r="B93" s="7" t="s">
        <v>32</v>
      </c>
      <c r="C93" s="7" t="s">
        <v>77</v>
      </c>
      <c r="D93" s="7"/>
      <c r="E93" s="7"/>
    </row>
    <row r="94" spans="1:5" ht="15" customHeight="1" x14ac:dyDescent="0.25">
      <c r="A94" s="7">
        <v>9</v>
      </c>
      <c r="B94" s="7" t="s">
        <v>20</v>
      </c>
      <c r="C94" s="7" t="s">
        <v>77</v>
      </c>
      <c r="D94" s="7"/>
      <c r="E94" s="7"/>
    </row>
    <row r="95" spans="1:5" ht="15" customHeight="1" x14ac:dyDescent="0.25">
      <c r="A95" s="7">
        <v>9</v>
      </c>
      <c r="B95" s="7" t="s">
        <v>53</v>
      </c>
      <c r="C95" s="7" t="s">
        <v>77</v>
      </c>
      <c r="D95" s="7"/>
      <c r="E95" s="7"/>
    </row>
    <row r="96" spans="1:5" ht="15" customHeight="1" x14ac:dyDescent="0.25">
      <c r="A96" s="7">
        <v>9</v>
      </c>
      <c r="B96" s="7" t="s">
        <v>47</v>
      </c>
      <c r="C96" s="7" t="s">
        <v>77</v>
      </c>
      <c r="D96" s="7"/>
      <c r="E96" s="7"/>
    </row>
    <row r="97" spans="1:5" ht="15" customHeight="1" x14ac:dyDescent="0.25">
      <c r="A97" s="7">
        <v>9</v>
      </c>
      <c r="B97" s="7" t="s">
        <v>31</v>
      </c>
      <c r="C97" s="7" t="s">
        <v>77</v>
      </c>
      <c r="D97" s="7"/>
      <c r="E97" s="7"/>
    </row>
    <row r="98" spans="1:5" ht="15" customHeight="1" x14ac:dyDescent="0.25">
      <c r="A98" s="7">
        <v>9</v>
      </c>
      <c r="B98" s="7" t="s">
        <v>51</v>
      </c>
      <c r="C98" s="7" t="s">
        <v>77</v>
      </c>
      <c r="D98" s="7"/>
      <c r="E98" s="7"/>
    </row>
    <row r="99" spans="1:5" ht="15" customHeight="1" x14ac:dyDescent="0.25">
      <c r="A99" s="7">
        <v>9</v>
      </c>
      <c r="B99" s="7" t="s">
        <v>26</v>
      </c>
      <c r="C99" s="7" t="s">
        <v>77</v>
      </c>
      <c r="D99" s="7"/>
      <c r="E99" s="7"/>
    </row>
    <row r="100" spans="1:5" ht="15" customHeight="1" x14ac:dyDescent="0.25">
      <c r="A100" s="7">
        <v>9</v>
      </c>
      <c r="B100" s="7" t="s">
        <v>38</v>
      </c>
      <c r="C100" s="7" t="s">
        <v>77</v>
      </c>
      <c r="D100" s="7"/>
      <c r="E100" s="7"/>
    </row>
    <row r="101" spans="1:5" ht="15" customHeight="1" x14ac:dyDescent="0.25">
      <c r="A101" s="7">
        <v>9</v>
      </c>
      <c r="B101" s="7" t="s">
        <v>19</v>
      </c>
      <c r="C101" s="7" t="s">
        <v>77</v>
      </c>
      <c r="D101" s="7"/>
      <c r="E101" s="7"/>
    </row>
    <row r="102" spans="1:5" ht="15" customHeight="1" x14ac:dyDescent="0.25">
      <c r="A102" s="7">
        <v>9</v>
      </c>
      <c r="B102" s="7" t="s">
        <v>17</v>
      </c>
      <c r="C102" s="7" t="s">
        <v>77</v>
      </c>
      <c r="D102" s="7"/>
      <c r="E102" s="7"/>
    </row>
    <row r="103" spans="1:5" ht="15" customHeight="1" x14ac:dyDescent="0.25">
      <c r="A103" s="7">
        <v>9</v>
      </c>
      <c r="B103" s="7" t="s">
        <v>21</v>
      </c>
      <c r="C103" s="7" t="s">
        <v>77</v>
      </c>
      <c r="D103" s="7"/>
      <c r="E103" s="7"/>
    </row>
    <row r="104" spans="1:5" ht="15" customHeight="1" x14ac:dyDescent="0.25">
      <c r="A104" s="7">
        <v>12</v>
      </c>
      <c r="B104" s="7" t="s">
        <v>36</v>
      </c>
      <c r="C104" s="7" t="s">
        <v>77</v>
      </c>
      <c r="D104" s="7"/>
      <c r="E104" s="7"/>
    </row>
    <row r="105" spans="1:5" ht="15" customHeight="1" x14ac:dyDescent="0.25">
      <c r="A105" s="7">
        <v>10</v>
      </c>
      <c r="B105" s="7" t="s">
        <v>43</v>
      </c>
      <c r="C105" s="7" t="s">
        <v>77</v>
      </c>
      <c r="D105" s="7"/>
      <c r="E105" s="7"/>
    </row>
    <row r="106" spans="1:5" ht="15" customHeight="1" x14ac:dyDescent="0.25">
      <c r="A106" s="7">
        <v>10</v>
      </c>
      <c r="B106" s="7" t="s">
        <v>37</v>
      </c>
      <c r="C106" s="7" t="s">
        <v>77</v>
      </c>
      <c r="D106" s="7"/>
      <c r="E106" s="7"/>
    </row>
    <row r="107" spans="1:5" ht="15" customHeight="1" x14ac:dyDescent="0.25">
      <c r="A107" s="7"/>
      <c r="B107" s="7" t="s">
        <v>44</v>
      </c>
      <c r="C107" s="7" t="s">
        <v>77</v>
      </c>
      <c r="D107" s="7"/>
      <c r="E107" s="7"/>
    </row>
    <row r="108" spans="1:5" ht="15" customHeight="1" x14ac:dyDescent="0.25">
      <c r="A108" s="7">
        <v>10</v>
      </c>
      <c r="B108" s="7" t="s">
        <v>14</v>
      </c>
      <c r="C108" s="7" t="s">
        <v>77</v>
      </c>
      <c r="D108" s="7"/>
      <c r="E108" s="7"/>
    </row>
    <row r="109" spans="1:5" ht="15" customHeight="1" x14ac:dyDescent="0.25">
      <c r="A109" s="7">
        <v>10</v>
      </c>
      <c r="B109" s="7" t="s">
        <v>16</v>
      </c>
      <c r="C109" s="7" t="s">
        <v>77</v>
      </c>
      <c r="D109" s="7"/>
      <c r="E109" s="7"/>
    </row>
    <row r="110" spans="1:5" ht="15" customHeight="1" x14ac:dyDescent="0.25">
      <c r="A110" s="7">
        <v>10</v>
      </c>
      <c r="B110" s="7" t="s">
        <v>27</v>
      </c>
      <c r="C110" s="7" t="s">
        <v>77</v>
      </c>
      <c r="D110" s="7"/>
      <c r="E110" s="7"/>
    </row>
    <row r="111" spans="1:5" ht="15" customHeight="1" x14ac:dyDescent="0.25">
      <c r="A111" s="7">
        <v>10</v>
      </c>
      <c r="B111" s="7" t="s">
        <v>41</v>
      </c>
      <c r="C111" s="7" t="s">
        <v>77</v>
      </c>
      <c r="D111" s="7"/>
      <c r="E111" s="7"/>
    </row>
    <row r="112" spans="1:5" ht="15" customHeight="1" x14ac:dyDescent="0.25">
      <c r="A112" s="7">
        <v>10</v>
      </c>
      <c r="B112" s="7" t="s">
        <v>35</v>
      </c>
      <c r="C112" s="7" t="s">
        <v>77</v>
      </c>
      <c r="D112" s="7"/>
      <c r="E112" s="7"/>
    </row>
    <row r="113" spans="1:5" ht="15" customHeight="1" x14ac:dyDescent="0.25">
      <c r="A113" s="7">
        <v>11</v>
      </c>
      <c r="B113" s="7" t="s">
        <v>22</v>
      </c>
      <c r="C113" s="7" t="s">
        <v>77</v>
      </c>
      <c r="D113" s="7"/>
      <c r="E113" s="7"/>
    </row>
    <row r="114" spans="1:5" ht="15" customHeight="1" x14ac:dyDescent="0.25">
      <c r="A114" s="7">
        <v>11</v>
      </c>
      <c r="B114" s="7" t="s">
        <v>46</v>
      </c>
      <c r="C114" s="7" t="s">
        <v>77</v>
      </c>
      <c r="D114" s="7"/>
      <c r="E114" s="7"/>
    </row>
    <row r="115" spans="1:5" ht="15" customHeight="1" x14ac:dyDescent="0.25">
      <c r="A115" s="7">
        <v>10</v>
      </c>
      <c r="B115" s="7" t="s">
        <v>42</v>
      </c>
      <c r="C115" s="7" t="s">
        <v>77</v>
      </c>
      <c r="D115" s="7"/>
      <c r="E115" s="7"/>
    </row>
    <row r="116" spans="1:5" ht="15" customHeight="1" x14ac:dyDescent="0.25">
      <c r="A116" s="7">
        <v>11</v>
      </c>
      <c r="B116" s="7" t="s">
        <v>39</v>
      </c>
      <c r="C116" s="7" t="s">
        <v>77</v>
      </c>
      <c r="D116" s="7"/>
      <c r="E116" s="7"/>
    </row>
    <row r="117" spans="1:5" ht="15" customHeight="1" x14ac:dyDescent="0.25">
      <c r="A117" s="7">
        <v>11</v>
      </c>
      <c r="B117" s="7" t="s">
        <v>45</v>
      </c>
      <c r="C117" s="7" t="s">
        <v>77</v>
      </c>
      <c r="D117" s="7"/>
      <c r="E117" s="7"/>
    </row>
    <row r="118" spans="1:5" ht="15" customHeight="1" x14ac:dyDescent="0.25">
      <c r="A118" s="7">
        <v>10</v>
      </c>
      <c r="B118" s="7" t="s">
        <v>34</v>
      </c>
      <c r="C118" s="7" t="s">
        <v>77</v>
      </c>
      <c r="D118" s="7"/>
      <c r="E118" s="7"/>
    </row>
    <row r="119" spans="1:5" ht="15" customHeight="1" x14ac:dyDescent="0.25">
      <c r="A119" s="7">
        <v>11</v>
      </c>
      <c r="B119" s="7" t="s">
        <v>40</v>
      </c>
      <c r="C119" s="7" t="s">
        <v>77</v>
      </c>
      <c r="D119" s="7"/>
      <c r="E119" s="7"/>
    </row>
    <row r="120" spans="1:5" ht="15" customHeight="1" x14ac:dyDescent="0.25">
      <c r="A120" s="7">
        <v>11</v>
      </c>
      <c r="B120" s="7" t="s">
        <v>33</v>
      </c>
      <c r="C120" s="7" t="s">
        <v>77</v>
      </c>
      <c r="D120" s="7"/>
      <c r="E120" s="7"/>
    </row>
    <row r="121" spans="1:5" ht="15" customHeight="1" x14ac:dyDescent="0.25">
      <c r="A121" s="7">
        <v>11</v>
      </c>
      <c r="B121" s="7" t="s">
        <v>54</v>
      </c>
      <c r="C121" s="7" t="s">
        <v>77</v>
      </c>
      <c r="D121" s="7"/>
      <c r="E121" s="7"/>
    </row>
    <row r="122" spans="1:5" ht="15" customHeight="1" x14ac:dyDescent="0.25">
      <c r="A122" s="7">
        <v>11</v>
      </c>
      <c r="B122" s="7" t="s">
        <v>49</v>
      </c>
      <c r="C122" s="7" t="s">
        <v>77</v>
      </c>
      <c r="D122" s="7"/>
      <c r="E122" s="7"/>
    </row>
    <row r="123" spans="1:5" ht="15" customHeight="1" x14ac:dyDescent="0.25">
      <c r="A123" s="7">
        <v>12</v>
      </c>
      <c r="B123" s="7" t="s">
        <v>32</v>
      </c>
      <c r="C123" s="7" t="s">
        <v>77</v>
      </c>
      <c r="D123" s="7"/>
      <c r="E123" s="7"/>
    </row>
    <row r="124" spans="1:5" ht="15" customHeight="1" x14ac:dyDescent="0.25">
      <c r="A124" s="7">
        <v>12</v>
      </c>
      <c r="B124" s="7" t="s">
        <v>53</v>
      </c>
      <c r="C124" s="7" t="s">
        <v>77</v>
      </c>
      <c r="D124" s="7"/>
      <c r="E124" s="7"/>
    </row>
    <row r="125" spans="1:5" ht="15" customHeight="1" x14ac:dyDescent="0.25">
      <c r="A125" s="7">
        <v>12</v>
      </c>
      <c r="B125" s="7" t="s">
        <v>47</v>
      </c>
      <c r="C125" s="7" t="s">
        <v>77</v>
      </c>
      <c r="D125" s="7"/>
      <c r="E125" s="7"/>
    </row>
    <row r="126" spans="1:5" ht="15" customHeight="1" x14ac:dyDescent="0.25">
      <c r="A126" s="7">
        <v>12</v>
      </c>
      <c r="B126" s="7" t="s">
        <v>31</v>
      </c>
      <c r="C126" s="7" t="s">
        <v>77</v>
      </c>
      <c r="D126" s="7"/>
      <c r="E126" s="7"/>
    </row>
    <row r="127" spans="1:5" ht="15" customHeight="1" x14ac:dyDescent="0.25">
      <c r="A127" s="7">
        <v>11</v>
      </c>
      <c r="B127" s="7" t="s">
        <v>51</v>
      </c>
      <c r="C127" s="7" t="s">
        <v>77</v>
      </c>
      <c r="D127" s="7"/>
      <c r="E127" s="7"/>
    </row>
    <row r="128" spans="1:5" ht="15" customHeight="1" x14ac:dyDescent="0.25">
      <c r="A128" s="7">
        <v>12</v>
      </c>
      <c r="B128" s="7" t="s">
        <v>26</v>
      </c>
      <c r="C128" s="7" t="s">
        <v>77</v>
      </c>
      <c r="D128" s="7"/>
      <c r="E128" s="7"/>
    </row>
    <row r="129" spans="1:5" ht="15" customHeight="1" x14ac:dyDescent="0.25">
      <c r="A129" s="7">
        <v>11</v>
      </c>
      <c r="B129" s="7" t="s">
        <v>38</v>
      </c>
      <c r="C129" s="7" t="s">
        <v>77</v>
      </c>
      <c r="D129" s="7"/>
      <c r="E129" s="7"/>
    </row>
    <row r="130" spans="1:5" ht="15" customHeight="1" x14ac:dyDescent="0.25">
      <c r="A130" s="7">
        <v>12</v>
      </c>
      <c r="B130" s="7" t="s">
        <v>19</v>
      </c>
      <c r="C130" s="7" t="s">
        <v>77</v>
      </c>
      <c r="D130" s="7"/>
      <c r="E130" s="7"/>
    </row>
    <row r="131" spans="1:5" ht="15" customHeight="1" x14ac:dyDescent="0.25">
      <c r="A131" s="7">
        <v>12</v>
      </c>
      <c r="B131" s="7" t="s">
        <v>21</v>
      </c>
      <c r="C131" s="7" t="s">
        <v>77</v>
      </c>
      <c r="D131" s="7"/>
      <c r="E131" s="7"/>
    </row>
    <row r="132" spans="1:5" ht="15" customHeight="1" x14ac:dyDescent="0.25">
      <c r="A132" s="7">
        <v>10</v>
      </c>
      <c r="B132" s="7" t="s">
        <v>30</v>
      </c>
      <c r="C132" s="7" t="s">
        <v>77</v>
      </c>
      <c r="D132" s="7"/>
      <c r="E132" s="7"/>
    </row>
    <row r="133" spans="1:5" ht="15" customHeight="1" x14ac:dyDescent="0.25">
      <c r="A133" s="7">
        <v>10</v>
      </c>
      <c r="B133" s="7" t="s">
        <v>52</v>
      </c>
      <c r="C133" s="7" t="s">
        <v>77</v>
      </c>
      <c r="D133" s="7"/>
      <c r="E133" s="7"/>
    </row>
    <row r="134" spans="1:5" ht="15" customHeight="1" x14ac:dyDescent="0.25">
      <c r="A134" s="7">
        <v>12</v>
      </c>
      <c r="B134" s="7" t="s">
        <v>18</v>
      </c>
      <c r="C134" s="7" t="s">
        <v>77</v>
      </c>
      <c r="D134" s="7"/>
      <c r="E134" s="7"/>
    </row>
    <row r="135" spans="1:5" ht="15" customHeight="1" x14ac:dyDescent="0.25">
      <c r="A135" s="7">
        <v>12</v>
      </c>
      <c r="B135" s="7" t="s">
        <v>25</v>
      </c>
      <c r="C135" s="7" t="s">
        <v>77</v>
      </c>
      <c r="D135" s="7"/>
      <c r="E135" s="7"/>
    </row>
    <row r="136" spans="1:5" ht="15" customHeight="1" x14ac:dyDescent="0.25">
      <c r="A136" s="7">
        <v>12</v>
      </c>
      <c r="B136" s="7" t="s">
        <v>23</v>
      </c>
      <c r="C136" s="7" t="s">
        <v>77</v>
      </c>
      <c r="D136" s="7"/>
      <c r="E136" s="7"/>
    </row>
    <row r="137" spans="1:5" ht="15" customHeight="1" x14ac:dyDescent="0.25">
      <c r="A137" s="7">
        <v>12</v>
      </c>
      <c r="B137" s="7" t="s">
        <v>28</v>
      </c>
      <c r="C137" s="7" t="s">
        <v>77</v>
      </c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</sheetData>
  <dataValidations count="2">
    <dataValidation type="list" allowBlank="1" sqref="C5:D1003" xr:uid="{00000000-0002-0000-0300-000000000000}">
      <formula1>"Oui,Non"</formula1>
      <formula2>0</formula2>
    </dataValidation>
    <dataValidation type="list" allowBlank="1" sqref="E5:E1003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Effectif!$A$5:$A$45</xm:f>
          </x14:formula1>
          <x14:formula2>
            <xm:f>0</xm:f>
          </x14:formula2>
          <xm:sqref>B5:B1003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tabSelected="1" zoomScaleNormal="100" workbookViewId="0">
      <selection activeCell="H21" sqref="H21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25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 x14ac:dyDescent="0.25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 x14ac:dyDescent="0.25">
      <c r="A16" s="7">
        <v>2</v>
      </c>
      <c r="B16" s="7" t="s">
        <v>50</v>
      </c>
      <c r="C16" s="7"/>
      <c r="D16" s="7"/>
      <c r="E16" s="7"/>
    </row>
    <row r="17" spans="1:5" ht="15" customHeight="1" x14ac:dyDescent="0.25">
      <c r="A17" s="7">
        <v>2</v>
      </c>
      <c r="B17" s="7" t="s">
        <v>50</v>
      </c>
      <c r="C17" s="7"/>
      <c r="D17" s="7"/>
      <c r="E17" s="7"/>
    </row>
    <row r="18" spans="1:5" ht="15" customHeight="1" x14ac:dyDescent="0.25">
      <c r="A18" s="7">
        <v>2</v>
      </c>
      <c r="B18" s="7" t="s">
        <v>50</v>
      </c>
      <c r="C18" s="7"/>
      <c r="D18" s="7"/>
      <c r="E18" s="7"/>
    </row>
    <row r="19" spans="1:5" ht="15" customHeight="1" x14ac:dyDescent="0.25">
      <c r="A19" s="7">
        <v>2</v>
      </c>
      <c r="B19" s="7" t="s">
        <v>50</v>
      </c>
      <c r="C19" s="7"/>
      <c r="D19" s="7"/>
      <c r="E19" s="7"/>
    </row>
    <row r="20" spans="1:5" ht="15" customHeight="1" x14ac:dyDescent="0.25">
      <c r="A20" s="7">
        <v>4</v>
      </c>
      <c r="B20" s="7" t="s">
        <v>22</v>
      </c>
      <c r="C20" s="7" t="s">
        <v>16</v>
      </c>
      <c r="D20" s="7"/>
      <c r="E20" s="7"/>
    </row>
    <row r="21" spans="1:5" ht="15" customHeight="1" x14ac:dyDescent="0.25">
      <c r="A21" s="7">
        <v>4</v>
      </c>
      <c r="B21" s="7" t="s">
        <v>30</v>
      </c>
      <c r="C21" s="7" t="s">
        <v>27</v>
      </c>
      <c r="D21" s="7"/>
      <c r="E21" s="7"/>
    </row>
    <row r="22" spans="1:5" ht="15" customHeight="1" x14ac:dyDescent="0.25">
      <c r="A22" s="7">
        <v>4</v>
      </c>
      <c r="B22" s="7" t="s">
        <v>52</v>
      </c>
      <c r="C22" s="7"/>
      <c r="D22" s="7"/>
      <c r="E22" s="7"/>
    </row>
    <row r="23" spans="1:5" ht="15" customHeight="1" x14ac:dyDescent="0.25">
      <c r="A23" s="7">
        <v>7</v>
      </c>
      <c r="B23" s="7" t="s">
        <v>27</v>
      </c>
      <c r="C23" s="7" t="s">
        <v>15</v>
      </c>
      <c r="D23" s="7"/>
      <c r="E23" s="7"/>
    </row>
    <row r="24" spans="1:5" ht="15" customHeight="1" x14ac:dyDescent="0.25">
      <c r="A24" s="7">
        <v>7</v>
      </c>
      <c r="B24" s="7" t="s">
        <v>27</v>
      </c>
      <c r="C24" s="7" t="s">
        <v>43</v>
      </c>
      <c r="D24" s="7"/>
      <c r="E24" s="7"/>
    </row>
    <row r="25" spans="1:5" ht="15" customHeight="1" x14ac:dyDescent="0.25">
      <c r="A25" s="7">
        <v>7</v>
      </c>
      <c r="B25" s="7" t="s">
        <v>16</v>
      </c>
      <c r="C25" s="7"/>
      <c r="D25" s="7"/>
      <c r="E25" s="7"/>
    </row>
    <row r="26" spans="1:5" ht="15" customHeight="1" x14ac:dyDescent="0.25">
      <c r="A26" s="7">
        <v>7</v>
      </c>
      <c r="B26" s="7" t="s">
        <v>35</v>
      </c>
      <c r="C26" s="7"/>
      <c r="D26" s="7"/>
      <c r="E26" s="7"/>
    </row>
    <row r="27" spans="1:5" ht="15" customHeight="1" x14ac:dyDescent="0.25">
      <c r="A27" s="7">
        <v>10</v>
      </c>
      <c r="B27" s="7" t="s">
        <v>27</v>
      </c>
      <c r="C27" s="7" t="s">
        <v>27</v>
      </c>
      <c r="D27" s="7"/>
      <c r="E27" s="7"/>
    </row>
    <row r="28" spans="1:5" ht="15" customHeight="1" x14ac:dyDescent="0.25">
      <c r="A28" s="7">
        <v>10</v>
      </c>
      <c r="B28" s="7" t="s">
        <v>16</v>
      </c>
      <c r="C28" s="7"/>
      <c r="D28" s="7"/>
      <c r="E28" s="7"/>
    </row>
    <row r="29" spans="1:5" ht="15" customHeight="1" x14ac:dyDescent="0.25">
      <c r="A29" s="7">
        <v>10</v>
      </c>
      <c r="B29" s="7" t="s">
        <v>16</v>
      </c>
      <c r="C29" s="7"/>
      <c r="D29" s="7"/>
      <c r="E29" s="7"/>
    </row>
    <row r="30" spans="1:5" ht="15" customHeight="1" x14ac:dyDescent="0.25">
      <c r="A30" s="7">
        <v>12</v>
      </c>
      <c r="B30" s="7" t="s">
        <v>25</v>
      </c>
      <c r="C30" s="7"/>
      <c r="D30" s="7"/>
      <c r="E30" s="7"/>
    </row>
    <row r="31" spans="1:5" ht="15" customHeight="1" x14ac:dyDescent="0.25">
      <c r="A31" s="7">
        <v>12</v>
      </c>
      <c r="B31" s="7" t="s">
        <v>17</v>
      </c>
      <c r="C31" s="7" t="s">
        <v>17</v>
      </c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0000000}">
      <formula1>"Nous,Adv"</formula1>
      <formula2>0</formula2>
    </dataValidation>
    <dataValidation type="list" allowBlank="1" sqref="E5:E25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4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3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1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4</v>
      </c>
      <c r="C7" s="5">
        <f>COUNTIFS(Convocations!$B:$B,A7,Convocations!$D:$D,"Oui")</f>
        <v>0</v>
      </c>
      <c r="D7" s="5">
        <f>COUNTIF(Buts!$B:$B,A7)</f>
        <v>3</v>
      </c>
      <c r="E7" s="5">
        <f>COUNTIF(Buts!$C:$C,A7)</f>
        <v>3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3</v>
      </c>
      <c r="C8" s="5">
        <f>COUNTIFS(Convocations!$B:$B,A8,Convocations!$D:$D,"Oui")</f>
        <v>0</v>
      </c>
      <c r="D8" s="5">
        <f>COUNTIF(Buts!$B:$B,A8)</f>
        <v>3</v>
      </c>
      <c r="E8" s="5">
        <f>COUNTIF(Buts!$C:$C,A8)</f>
        <v>2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3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4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3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2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4</v>
      </c>
      <c r="C13" s="5">
        <f>COUNTIFS(Convocations!$B:$B,A13,Convocations!$D:$D,"Oui")</f>
        <v>0</v>
      </c>
      <c r="D13" s="5">
        <f>COUNTIF(Buts!$B:$B,A13)</f>
        <v>2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2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2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2</v>
      </c>
      <c r="C16" s="5">
        <f>COUNTIFS(Convocations!$B:$B,A16,Convocations!$D:$D,"Oui")</f>
        <v>0</v>
      </c>
      <c r="D16" s="5">
        <f>COUNTIF(Buts!$B:$B,A16)</f>
        <v>1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4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4</v>
      </c>
      <c r="C18" s="5">
        <f>COUNTIFS(Convocations!$B:$B,A18,Convocations!$D:$D,"Oui")</f>
        <v>0</v>
      </c>
      <c r="D18" s="5">
        <f>COUNTIF(Buts!$B:$B,A18)</f>
        <v>5</v>
      </c>
      <c r="E18" s="5">
        <f>COUNTIF(Buts!$C:$C,A18)</f>
        <v>2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3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3</v>
      </c>
      <c r="C21" s="5">
        <f>COUNTIFS(Convocations!$B:$B,A21,Convocations!$D:$D,"Oui")</f>
        <v>0</v>
      </c>
      <c r="D21" s="5">
        <f>COUNTIF(Buts!$B:$B,A21)</f>
        <v>2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4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3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4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3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4</v>
      </c>
      <c r="C26" s="5">
        <f>COUNTIFS(Convocations!$B:$B,A26,Convocations!$D:$D,"Oui")</f>
        <v>0</v>
      </c>
      <c r="D26" s="5">
        <f>COUNTIF(Buts!$B:$B,A26)</f>
        <v>1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3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4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4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4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4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4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3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3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1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4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4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3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4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1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3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3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3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3</v>
      </c>
      <c r="C43" s="5">
        <f>COUNTIFS(Convocations!$B:$B,A43,Convocations!$D:$D,"Oui")</f>
        <v>0</v>
      </c>
      <c r="D43" s="5">
        <f>COUNTIF(Buts!$B:$B,A43)</f>
        <v>1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4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4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Philippe Meyer</cp:lastModifiedBy>
  <cp:revision>0</cp:revision>
  <dcterms:created xsi:type="dcterms:W3CDTF">2026-09-15T10:33:14Z</dcterms:created>
  <dcterms:modified xsi:type="dcterms:W3CDTF">2026-10-15T10:41:37Z</dcterms:modified>
  <cp:category/>
  <cp:contentStatus/>
</cp:coreProperties>
</file>