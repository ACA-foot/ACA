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1B05A688-1CC4-4234-A94A-86B72D016FB4}" xr6:coauthVersionLast="47" xr6:coauthVersionMax="47" xr10:uidLastSave="{00000000-0000-0000-0000-000000000000}"/>
  <bookViews>
    <workbookView xWindow="28680" yWindow="-120" windowWidth="29040" windowHeight="15720" tabRatio="500" activeTab="6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3" l="1"/>
  <c r="J5" i="3"/>
  <c r="I6" i="3"/>
  <c r="J6" i="3"/>
  <c r="A41" i="8"/>
  <c r="G41" i="8" s="1"/>
  <c r="A40" i="8"/>
  <c r="D40" i="8" s="1"/>
  <c r="A39" i="8"/>
  <c r="E39" i="8" s="1"/>
  <c r="G38" i="8"/>
  <c r="F38" i="8"/>
  <c r="E38" i="8"/>
  <c r="A38" i="8"/>
  <c r="D38" i="8" s="1"/>
  <c r="A37" i="8"/>
  <c r="F37" i="8" s="1"/>
  <c r="F36" i="8"/>
  <c r="A36" i="8"/>
  <c r="G36" i="8" s="1"/>
  <c r="G35" i="8"/>
  <c r="F35" i="8"/>
  <c r="E35" i="8"/>
  <c r="D35" i="8"/>
  <c r="C35" i="8"/>
  <c r="B35" i="8"/>
  <c r="A35" i="8"/>
  <c r="A34" i="8"/>
  <c r="G34" i="8" s="1"/>
  <c r="B33" i="8"/>
  <c r="A33" i="8"/>
  <c r="G33" i="8" s="1"/>
  <c r="A32" i="8"/>
  <c r="B32" i="8" s="1"/>
  <c r="G31" i="8"/>
  <c r="F31" i="8"/>
  <c r="A31" i="8"/>
  <c r="E31" i="8" s="1"/>
  <c r="A30" i="8"/>
  <c r="E30" i="8" s="1"/>
  <c r="A29" i="8"/>
  <c r="G29" i="8" s="1"/>
  <c r="G28" i="8"/>
  <c r="F28" i="8"/>
  <c r="E28" i="8"/>
  <c r="D28" i="8"/>
  <c r="C28" i="8"/>
  <c r="B28" i="8"/>
  <c r="A28" i="8"/>
  <c r="A27" i="8"/>
  <c r="C27" i="8" s="1"/>
  <c r="A26" i="8"/>
  <c r="E26" i="8" s="1"/>
  <c r="A25" i="8"/>
  <c r="G25" i="8" s="1"/>
  <c r="G24" i="8"/>
  <c r="F24" i="8"/>
  <c r="A24" i="8"/>
  <c r="E24" i="8" s="1"/>
  <c r="B23" i="8"/>
  <c r="A23" i="8"/>
  <c r="E23" i="8" s="1"/>
  <c r="A22" i="8"/>
  <c r="G22" i="8" s="1"/>
  <c r="G21" i="8"/>
  <c r="F21" i="8"/>
  <c r="E21" i="8"/>
  <c r="D21" i="8"/>
  <c r="C21" i="8"/>
  <c r="A21" i="8"/>
  <c r="B21" i="8" s="1"/>
  <c r="A20" i="8"/>
  <c r="D20" i="8" s="1"/>
  <c r="A19" i="8"/>
  <c r="G19" i="8" s="1"/>
  <c r="A18" i="8"/>
  <c r="E18" i="8" s="1"/>
  <c r="G17" i="8"/>
  <c r="A17" i="8"/>
  <c r="F17" i="8" s="1"/>
  <c r="A16" i="8"/>
  <c r="G16" i="8" s="1"/>
  <c r="A15" i="8"/>
  <c r="B15" i="8" s="1"/>
  <c r="G14" i="8"/>
  <c r="F14" i="8"/>
  <c r="E14" i="8"/>
  <c r="D14" i="8"/>
  <c r="A14" i="8"/>
  <c r="C14" i="8" s="1"/>
  <c r="A13" i="8"/>
  <c r="E13" i="8" s="1"/>
  <c r="A12" i="8"/>
  <c r="G12" i="8" s="1"/>
  <c r="A11" i="8"/>
  <c r="A10" i="8"/>
  <c r="G10" i="8" s="1"/>
  <c r="B9" i="8"/>
  <c r="A9" i="8"/>
  <c r="G9" i="8" s="1"/>
  <c r="A8" i="8"/>
  <c r="C8" i="8" s="1"/>
  <c r="G7" i="8"/>
  <c r="F7" i="8"/>
  <c r="E7" i="8"/>
  <c r="A7" i="8"/>
  <c r="D7" i="8" s="1"/>
  <c r="A6" i="8"/>
  <c r="F6" i="8" s="1"/>
  <c r="A5" i="8"/>
  <c r="G5" i="8" s="1"/>
  <c r="A64" i="3"/>
  <c r="J64" i="3" s="1"/>
  <c r="A63" i="3"/>
  <c r="J63" i="3" s="1"/>
  <c r="A62" i="3"/>
  <c r="J62" i="3" s="1"/>
  <c r="A61" i="3"/>
  <c r="J61" i="3" s="1"/>
  <c r="A60" i="3"/>
  <c r="I60" i="3" s="1"/>
  <c r="A59" i="3"/>
  <c r="J59" i="3" s="1"/>
  <c r="A58" i="3"/>
  <c r="J58" i="3" s="1"/>
  <c r="A57" i="3"/>
  <c r="J57" i="3" s="1"/>
  <c r="A56" i="3"/>
  <c r="J56" i="3" s="1"/>
  <c r="I55" i="3"/>
  <c r="A55" i="3"/>
  <c r="J55" i="3" s="1"/>
  <c r="A54" i="3"/>
  <c r="J54" i="3" s="1"/>
  <c r="A53" i="3"/>
  <c r="I53" i="3" s="1"/>
  <c r="A52" i="3"/>
  <c r="J52" i="3" s="1"/>
  <c r="A51" i="3"/>
  <c r="I51" i="3" s="1"/>
  <c r="A50" i="3"/>
  <c r="J50" i="3" s="1"/>
  <c r="A49" i="3"/>
  <c r="I49" i="3" s="1"/>
  <c r="A48" i="3"/>
  <c r="J48" i="3" s="1"/>
  <c r="I47" i="3"/>
  <c r="A47" i="3"/>
  <c r="J47" i="3" s="1"/>
  <c r="A46" i="3"/>
  <c r="J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J40" i="3" s="1"/>
  <c r="I39" i="3"/>
  <c r="A39" i="3"/>
  <c r="J39" i="3" s="1"/>
  <c r="A38" i="3"/>
  <c r="J38" i="3" s="1"/>
  <c r="A37" i="3"/>
  <c r="I37" i="3" s="1"/>
  <c r="A36" i="3"/>
  <c r="J36" i="3" s="1"/>
  <c r="A35" i="3"/>
  <c r="J35" i="3" s="1"/>
  <c r="A34" i="3"/>
  <c r="J34" i="3" s="1"/>
  <c r="A33" i="3"/>
  <c r="J33" i="3" s="1"/>
  <c r="A32" i="3"/>
  <c r="J32" i="3" s="1"/>
  <c r="A31" i="3"/>
  <c r="J31" i="3" s="1"/>
  <c r="A30" i="3"/>
  <c r="J30" i="3" s="1"/>
  <c r="A29" i="3"/>
  <c r="J29" i="3" s="1"/>
  <c r="A28" i="3"/>
  <c r="J28" i="3" s="1"/>
  <c r="A27" i="3"/>
  <c r="J27" i="3" s="1"/>
  <c r="A26" i="3"/>
  <c r="J26" i="3" s="1"/>
  <c r="A25" i="3"/>
  <c r="I25" i="3" s="1"/>
  <c r="A24" i="3"/>
  <c r="J24" i="3" s="1"/>
  <c r="A23" i="3"/>
  <c r="J23" i="3" s="1"/>
  <c r="A22" i="3"/>
  <c r="J22" i="3" s="1"/>
  <c r="A21" i="3"/>
  <c r="I21" i="3" s="1"/>
  <c r="A20" i="3"/>
  <c r="I20" i="3" s="1"/>
  <c r="A19" i="3"/>
  <c r="J19" i="3" s="1"/>
  <c r="A18" i="3"/>
  <c r="J18" i="3" s="1"/>
  <c r="A17" i="3"/>
  <c r="J17" i="3" s="1"/>
  <c r="A16" i="3"/>
  <c r="J16" i="3" s="1"/>
  <c r="A15" i="3"/>
  <c r="J15" i="3" s="1"/>
  <c r="A14" i="3"/>
  <c r="J14" i="3" s="1"/>
  <c r="A13" i="3"/>
  <c r="I13" i="3" s="1"/>
  <c r="A12" i="3"/>
  <c r="J12" i="3" s="1"/>
  <c r="A11" i="3"/>
  <c r="I11" i="3" s="1"/>
  <c r="A10" i="3"/>
  <c r="J10" i="3" s="1"/>
  <c r="A9" i="3"/>
  <c r="I9" i="3" s="1"/>
  <c r="A8" i="3"/>
  <c r="J8" i="3" s="1"/>
  <c r="A7" i="3"/>
  <c r="J7" i="3" s="1"/>
  <c r="A6" i="3"/>
  <c r="A5" i="3"/>
  <c r="I31" i="3" l="1"/>
  <c r="G11" i="8"/>
  <c r="B11" i="8"/>
  <c r="F11" i="8"/>
  <c r="E11" i="8"/>
  <c r="C11" i="8"/>
  <c r="D11" i="8"/>
  <c r="I7" i="3"/>
  <c r="I23" i="3"/>
  <c r="I15" i="3"/>
  <c r="I63" i="3"/>
  <c r="I17" i="3"/>
  <c r="I33" i="3"/>
  <c r="I41" i="3"/>
  <c r="I57" i="3"/>
  <c r="B5" i="8"/>
  <c r="E8" i="8"/>
  <c r="D15" i="8"/>
  <c r="G18" i="8"/>
  <c r="C22" i="8"/>
  <c r="F25" i="8"/>
  <c r="B29" i="8"/>
  <c r="E32" i="8"/>
  <c r="D39" i="8"/>
  <c r="J9" i="3"/>
  <c r="J25" i="3"/>
  <c r="J49" i="3"/>
  <c r="D5" i="8"/>
  <c r="C12" i="8"/>
  <c r="F15" i="8"/>
  <c r="E22" i="8"/>
  <c r="D29" i="8"/>
  <c r="G32" i="8"/>
  <c r="C36" i="8"/>
  <c r="F39" i="8"/>
  <c r="I10" i="3"/>
  <c r="I18" i="3"/>
  <c r="I26" i="3"/>
  <c r="I34" i="3"/>
  <c r="I42" i="3"/>
  <c r="I50" i="3"/>
  <c r="I58" i="3"/>
  <c r="E5" i="8"/>
  <c r="D12" i="8"/>
  <c r="G15" i="8"/>
  <c r="C19" i="8"/>
  <c r="F22" i="8"/>
  <c r="B26" i="8"/>
  <c r="E29" i="8"/>
  <c r="D36" i="8"/>
  <c r="G39" i="8"/>
  <c r="B25" i="8"/>
  <c r="D25" i="8"/>
  <c r="C18" i="8"/>
  <c r="C32" i="8"/>
  <c r="B18" i="8"/>
  <c r="C25" i="8"/>
  <c r="I8" i="3"/>
  <c r="I16" i="3"/>
  <c r="I24" i="3"/>
  <c r="I32" i="3"/>
  <c r="I40" i="3"/>
  <c r="I48" i="3"/>
  <c r="I56" i="3"/>
  <c r="I64" i="3"/>
  <c r="B8" i="8"/>
  <c r="D18" i="8"/>
  <c r="C9" i="8"/>
  <c r="B16" i="8"/>
  <c r="C33" i="8"/>
  <c r="I27" i="3"/>
  <c r="I59" i="3"/>
  <c r="C16" i="8"/>
  <c r="D33" i="8"/>
  <c r="J11" i="3"/>
  <c r="J51" i="3"/>
  <c r="B6" i="8"/>
  <c r="D16" i="8"/>
  <c r="C6" i="8"/>
  <c r="F9" i="8"/>
  <c r="E16" i="8"/>
  <c r="G26" i="8"/>
  <c r="C30" i="8"/>
  <c r="E40" i="8"/>
  <c r="I12" i="3"/>
  <c r="I28" i="3"/>
  <c r="I52" i="3"/>
  <c r="D6" i="8"/>
  <c r="F16" i="8"/>
  <c r="D30" i="8"/>
  <c r="F40" i="8"/>
  <c r="J60" i="3"/>
  <c r="D13" i="8"/>
  <c r="F23" i="8"/>
  <c r="B27" i="8"/>
  <c r="G40" i="8"/>
  <c r="G23" i="8"/>
  <c r="F30" i="8"/>
  <c r="E37" i="8"/>
  <c r="I45" i="3"/>
  <c r="I61" i="3"/>
  <c r="F13" i="8"/>
  <c r="B17" i="8"/>
  <c r="E20" i="8"/>
  <c r="D27" i="8"/>
  <c r="G30" i="8"/>
  <c r="B41" i="8"/>
  <c r="J13" i="3"/>
  <c r="J21" i="3"/>
  <c r="J37" i="3"/>
  <c r="J53" i="3"/>
  <c r="D10" i="8"/>
  <c r="G13" i="8"/>
  <c r="C17" i="8"/>
  <c r="F20" i="8"/>
  <c r="B24" i="8"/>
  <c r="E27" i="8"/>
  <c r="G37" i="8"/>
  <c r="B7" i="8"/>
  <c r="E10" i="8"/>
  <c r="D17" i="8"/>
  <c r="G20" i="8"/>
  <c r="C24" i="8"/>
  <c r="F27" i="8"/>
  <c r="B31" i="8"/>
  <c r="E34" i="8"/>
  <c r="D41" i="8"/>
  <c r="B39" i="8"/>
  <c r="D8" i="8"/>
  <c r="C15" i="8"/>
  <c r="F18" i="8"/>
  <c r="B22" i="8"/>
  <c r="E25" i="8"/>
  <c r="D32" i="8"/>
  <c r="C39" i="8"/>
  <c r="C5" i="8"/>
  <c r="F8" i="8"/>
  <c r="B12" i="8"/>
  <c r="E15" i="8"/>
  <c r="D22" i="8"/>
  <c r="C29" i="8"/>
  <c r="F32" i="8"/>
  <c r="B36" i="8"/>
  <c r="G8" i="8"/>
  <c r="B19" i="8"/>
  <c r="F5" i="8"/>
  <c r="E12" i="8"/>
  <c r="D19" i="8"/>
  <c r="C26" i="8"/>
  <c r="F29" i="8"/>
  <c r="F12" i="8"/>
  <c r="E19" i="8"/>
  <c r="D26" i="8"/>
  <c r="I35" i="3"/>
  <c r="D9" i="8"/>
  <c r="F19" i="8"/>
  <c r="C40" i="8"/>
  <c r="F26" i="8"/>
  <c r="F33" i="8"/>
  <c r="I44" i="3"/>
  <c r="C13" i="8"/>
  <c r="C37" i="8"/>
  <c r="J20" i="3"/>
  <c r="G6" i="8"/>
  <c r="C34" i="8"/>
  <c r="C41" i="8"/>
  <c r="I14" i="3"/>
  <c r="I22" i="3"/>
  <c r="I30" i="3"/>
  <c r="I38" i="3"/>
  <c r="I46" i="3"/>
  <c r="I54" i="3"/>
  <c r="I62" i="3"/>
  <c r="C7" i="8"/>
  <c r="F10" i="8"/>
  <c r="B14" i="8"/>
  <c r="E17" i="8"/>
  <c r="D24" i="8"/>
  <c r="G27" i="8"/>
  <c r="C31" i="8"/>
  <c r="F34" i="8"/>
  <c r="B38" i="8"/>
  <c r="E41" i="8"/>
  <c r="E36" i="8"/>
  <c r="B40" i="8"/>
  <c r="I19" i="3"/>
  <c r="I43" i="3"/>
  <c r="E9" i="8"/>
  <c r="C23" i="8"/>
  <c r="B30" i="8"/>
  <c r="E33" i="8"/>
  <c r="B13" i="8"/>
  <c r="D23" i="8"/>
  <c r="B37" i="8"/>
  <c r="I36" i="3"/>
  <c r="B20" i="8"/>
  <c r="E6" i="8"/>
  <c r="C20" i="8"/>
  <c r="D37" i="8"/>
  <c r="B10" i="8"/>
  <c r="B34" i="8"/>
  <c r="I29" i="3"/>
  <c r="C10" i="8"/>
  <c r="D34" i="8"/>
  <c r="D31" i="8"/>
  <c r="C38" i="8"/>
  <c r="F41" i="8"/>
</calcChain>
</file>

<file path=xl/sharedStrings.xml><?xml version="1.0" encoding="utf-8"?>
<sst xmlns="http://schemas.openxmlformats.org/spreadsheetml/2006/main" count="235" uniqueCount="101">
  <si>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</si>
  <si>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</si>
  <si>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</si>
  <si>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</si>
  <si>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</si>
  <si>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</si>
  <si>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</si>
  <si>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</si>
  <si>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</si>
  <si>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</si>
  <si>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D2, 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</si>
  <si>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</si>
  <si>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</si>
  <si>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</si>
  <si>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</si>
  <si>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</si>
  <si>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</si>
  <si>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</si>
  <si>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</si>
  <si>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</si>
  <si>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</si>
  <si>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</si>
  <si>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</si>
  <si>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</si>
  <si>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</si>
  <si>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</si>
  <si>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</si>
  <si>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</si>
  <si>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</si>
  <si>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</si>
  <si>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</si>
  <si>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</si>
  <si>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</si>
  <si>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</si>
  <si>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</si>
  <si>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</si>
  <si>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</si>
  <si>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</si>
  <si>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</si>
  <si>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</si>
  <si>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</si>
  <si>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</si>
  <si>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</si>
  <si>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</si>
  <si>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</si>
  <si>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</si>
  <si>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</si>
  <si>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</si>
  <si>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</si>
  <si>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</si>
  <si>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</si>
  <si>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</si>
  <si>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</si>
  <si>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</si>
  <si>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</si>
  <si>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</si>
  <si>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</si>
  <si>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</si>
  <si>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</si>
  <si>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</si>
  <si>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</si>
  <si>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</si>
  <si>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</si>
  <si>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</si>
  <si>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</si>
  <si>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</si>
  <si>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</si>
  <si>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</si>
  <si>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</si>
  <si>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</si>
  <si>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</si>
  <si>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</si>
  <si>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</si>
  <si>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</si>
  <si>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</si>
  <si>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</si>
  <si>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</si>
  <si>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</si>
  <si>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</si>
  <si>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</si>
  <si>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</si>
  <si>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</si>
  <si>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</si>
  <si>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</si>
  <si>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</si>
  <si>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</si>
  <si>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</si>
  <si>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</si>
  <si>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</si>
  <si>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</si>
  <si>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D2</t>
  </si>
  <si>
    <t>D3</t>
  </si>
  <si>
    <t>Haute Bruche</t>
  </si>
  <si>
    <t>Sundwitbindscho</t>
  </si>
  <si>
    <t>Championnat</t>
  </si>
  <si>
    <t>Domicile</t>
  </si>
  <si>
    <t>Exterieur</t>
  </si>
  <si>
    <t>Oui</t>
  </si>
  <si>
    <t>Bennwihr</t>
  </si>
  <si>
    <t>Coupe</t>
  </si>
  <si>
    <t>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</si>
</sst>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zoomScaleNormal="100" workbookViewId="0">
      <selection activeCell="F24" sqref="F24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6" si="0">ROW()-4</f>
        <v>1</v>
      </c>
      <c r="B5" s="6">
        <v>46270</v>
      </c>
      <c r="C5" s="7" t="s">
        <v>90</v>
      </c>
      <c r="D5" s="7" t="s">
        <v>92</v>
      </c>
      <c r="E5" s="7" t="s">
        <v>94</v>
      </c>
      <c r="F5" s="7" t="s">
        <v>95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14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91</v>
      </c>
      <c r="D6" s="7" t="s">
        <v>93</v>
      </c>
      <c r="E6" s="7" t="s">
        <v>94</v>
      </c>
      <c r="F6" s="7" t="s">
        <v>96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11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90</v>
      </c>
      <c r="D7" s="7" t="s">
        <v>98</v>
      </c>
      <c r="E7" s="7" t="s">
        <v>99</v>
      </c>
      <c r="F7" s="7" t="s">
        <v>95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14</v>
      </c>
    </row>
    <row r="8" spans="1:10" ht="15" customHeight="1" x14ac:dyDescent="0.25">
      <c r="A8" s="5">
        <f t="shared" si="0"/>
        <v>4</v>
      </c>
      <c r="B8" s="7"/>
      <c r="C8" s="7"/>
      <c r="D8" s="7"/>
      <c r="E8" s="7"/>
      <c r="F8" s="7"/>
      <c r="G8" s="7"/>
      <c r="H8" s="7"/>
      <c r="I8" s="5">
        <f>COUNTIFS(Convocations!$A:$A,A8,Convocations!$C:$C,"Oui")</f>
        <v>0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7"/>
      <c r="C9" s="7"/>
      <c r="D9" s="7"/>
      <c r="E9" s="7"/>
      <c r="F9" s="7"/>
      <c r="G9" s="7"/>
      <c r="H9" s="7"/>
      <c r="I9" s="5">
        <f>COUNTIFS(Convocations!$A:$A,A9,Convocations!$C:$C,"Oui")</f>
        <v>0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 xr:uid="{00000000-0002-0000-0200-000000000000}">
      <formula1>"D2,D3"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4"/>
  <sheetViews>
    <sheetView topLeftCell="A4" zoomScaleNormal="100" workbookViewId="0">
      <selection activeCell="D26" sqref="D26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63</v>
      </c>
    </row>
    <row r="2" spans="1:5" ht="15" customHeight="1" x14ac:dyDescent="0.25">
      <c r="A2" s="3" t="s">
        <v>64</v>
      </c>
    </row>
    <row r="4" spans="1:5" ht="15" customHeight="1" x14ac:dyDescent="0.25">
      <c r="A4" s="4" t="s">
        <v>53</v>
      </c>
      <c r="B4" s="4" t="s">
        <v>13</v>
      </c>
      <c r="C4" s="4" t="s">
        <v>65</v>
      </c>
      <c r="D4" s="4" t="s">
        <v>66</v>
      </c>
      <c r="E4" s="4" t="s">
        <v>67</v>
      </c>
    </row>
    <row r="5" spans="1:5" ht="15" customHeight="1" x14ac:dyDescent="0.25">
      <c r="A5" s="7">
        <v>1</v>
      </c>
      <c r="B5" s="7" t="s">
        <v>44</v>
      </c>
      <c r="C5" s="7" t="s">
        <v>97</v>
      </c>
      <c r="D5" s="7" t="s">
        <v>97</v>
      </c>
      <c r="E5" s="7"/>
    </row>
    <row r="6" spans="1:5" ht="15" customHeight="1" x14ac:dyDescent="0.25">
      <c r="A6" s="7">
        <v>1</v>
      </c>
      <c r="B6" s="7" t="s">
        <v>15</v>
      </c>
      <c r="C6" s="7" t="s">
        <v>97</v>
      </c>
      <c r="D6" s="7" t="s">
        <v>97</v>
      </c>
      <c r="E6" s="7"/>
    </row>
    <row r="7" spans="1:5" ht="15" customHeight="1" x14ac:dyDescent="0.25">
      <c r="A7" s="7">
        <v>1</v>
      </c>
      <c r="B7" s="7" t="s">
        <v>38</v>
      </c>
      <c r="C7" s="7" t="s">
        <v>97</v>
      </c>
      <c r="D7" s="7" t="s">
        <v>97</v>
      </c>
      <c r="E7" s="7"/>
    </row>
    <row r="8" spans="1:5" ht="15" customHeight="1" x14ac:dyDescent="0.25">
      <c r="A8" s="7">
        <v>1</v>
      </c>
      <c r="B8" s="7" t="s">
        <v>19</v>
      </c>
      <c r="C8" s="7" t="s">
        <v>97</v>
      </c>
      <c r="D8" s="7" t="s">
        <v>97</v>
      </c>
      <c r="E8" s="7"/>
    </row>
    <row r="9" spans="1:5" ht="15" customHeight="1" x14ac:dyDescent="0.25">
      <c r="A9" s="7">
        <v>1</v>
      </c>
      <c r="B9" s="7" t="s">
        <v>25</v>
      </c>
      <c r="C9" s="7" t="s">
        <v>97</v>
      </c>
      <c r="D9" s="7" t="s">
        <v>97</v>
      </c>
      <c r="E9" s="7"/>
    </row>
    <row r="10" spans="1:5" ht="15" customHeight="1" x14ac:dyDescent="0.25">
      <c r="A10" s="7">
        <v>1</v>
      </c>
      <c r="B10" s="7" t="s">
        <v>36</v>
      </c>
      <c r="C10" s="7" t="s">
        <v>97</v>
      </c>
      <c r="D10" s="7" t="s">
        <v>97</v>
      </c>
      <c r="E10" s="7"/>
    </row>
    <row r="11" spans="1:5" ht="15" customHeight="1" x14ac:dyDescent="0.25">
      <c r="A11" s="7">
        <v>1</v>
      </c>
      <c r="B11" s="7" t="s">
        <v>40</v>
      </c>
      <c r="C11" s="7" t="s">
        <v>97</v>
      </c>
      <c r="D11" s="7" t="s">
        <v>97</v>
      </c>
      <c r="E11" s="7"/>
    </row>
    <row r="12" spans="1:5" ht="15" customHeight="1" x14ac:dyDescent="0.25">
      <c r="A12" s="7">
        <v>1</v>
      </c>
      <c r="B12" s="7" t="s">
        <v>35</v>
      </c>
      <c r="C12" s="7" t="s">
        <v>97</v>
      </c>
      <c r="D12" s="7" t="s">
        <v>97</v>
      </c>
      <c r="E12" s="7"/>
    </row>
    <row r="13" spans="1:5" ht="15" customHeight="1" x14ac:dyDescent="0.25">
      <c r="A13" s="7">
        <v>1</v>
      </c>
      <c r="B13" s="7" t="s">
        <v>37</v>
      </c>
      <c r="C13" s="7" t="s">
        <v>97</v>
      </c>
      <c r="D13" s="7" t="s">
        <v>97</v>
      </c>
      <c r="E13" s="7"/>
    </row>
    <row r="14" spans="1:5" ht="15" customHeight="1" x14ac:dyDescent="0.25">
      <c r="A14" s="7">
        <v>1</v>
      </c>
      <c r="B14" s="7" t="s">
        <v>33</v>
      </c>
      <c r="C14" s="7" t="s">
        <v>97</v>
      </c>
      <c r="D14" s="7" t="s">
        <v>97</v>
      </c>
      <c r="E14" s="7"/>
    </row>
    <row r="15" spans="1:5" ht="15" customHeight="1" x14ac:dyDescent="0.25">
      <c r="A15" s="7">
        <v>1</v>
      </c>
      <c r="B15" s="7" t="s">
        <v>16</v>
      </c>
      <c r="C15" s="7" t="s">
        <v>97</v>
      </c>
      <c r="D15" s="7" t="s">
        <v>97</v>
      </c>
      <c r="E15" s="7"/>
    </row>
    <row r="16" spans="1:5" ht="15" customHeight="1" x14ac:dyDescent="0.25">
      <c r="A16" s="7">
        <v>1</v>
      </c>
      <c r="B16" s="7" t="s">
        <v>48</v>
      </c>
      <c r="C16" s="7" t="s">
        <v>97</v>
      </c>
      <c r="D16" s="7" t="s">
        <v>97</v>
      </c>
      <c r="E16" s="7"/>
    </row>
    <row r="17" spans="1:5" ht="15" customHeight="1" x14ac:dyDescent="0.25">
      <c r="A17" s="7">
        <v>1</v>
      </c>
      <c r="B17" s="7" t="s">
        <v>26</v>
      </c>
      <c r="C17" s="7" t="s">
        <v>97</v>
      </c>
      <c r="D17" s="7" t="s">
        <v>97</v>
      </c>
      <c r="E17" s="7"/>
    </row>
    <row r="18" spans="1:5" ht="15" customHeight="1" x14ac:dyDescent="0.25">
      <c r="A18" s="7">
        <v>1</v>
      </c>
      <c r="B18" s="7" t="s">
        <v>18</v>
      </c>
      <c r="C18" s="7" t="s">
        <v>97</v>
      </c>
      <c r="D18" s="7" t="s">
        <v>97</v>
      </c>
      <c r="E18" s="7"/>
    </row>
    <row r="19" spans="1:5" ht="15" customHeight="1" x14ac:dyDescent="0.25">
      <c r="A19" s="7">
        <v>2</v>
      </c>
      <c r="B19" s="7" t="s">
        <v>30</v>
      </c>
      <c r="C19" s="7" t="s">
        <v>97</v>
      </c>
      <c r="D19" s="7" t="s">
        <v>97</v>
      </c>
      <c r="E19" s="7"/>
    </row>
    <row r="20" spans="1:5" ht="15" customHeight="1" x14ac:dyDescent="0.25">
      <c r="A20" s="7">
        <v>2</v>
      </c>
      <c r="B20" s="7" t="s">
        <v>46</v>
      </c>
      <c r="C20" s="7" t="s">
        <v>97</v>
      </c>
      <c r="D20" s="7" t="s">
        <v>97</v>
      </c>
      <c r="E20" s="7"/>
    </row>
    <row r="21" spans="1:5" ht="15" customHeight="1" x14ac:dyDescent="0.25">
      <c r="A21" s="7">
        <v>2</v>
      </c>
      <c r="B21" s="7" t="s">
        <v>41</v>
      </c>
      <c r="C21" s="7" t="s">
        <v>97</v>
      </c>
      <c r="D21" s="7" t="s">
        <v>97</v>
      </c>
      <c r="E21" s="7"/>
    </row>
    <row r="22" spans="1:5" ht="15" customHeight="1" x14ac:dyDescent="0.25">
      <c r="A22" s="7">
        <v>2</v>
      </c>
      <c r="B22" s="7" t="s">
        <v>20</v>
      </c>
      <c r="C22" s="7" t="s">
        <v>97</v>
      </c>
      <c r="D22" s="7" t="s">
        <v>97</v>
      </c>
      <c r="E22" s="7"/>
    </row>
    <row r="23" spans="1:5" ht="15" customHeight="1" x14ac:dyDescent="0.25">
      <c r="A23" s="7">
        <v>2</v>
      </c>
      <c r="B23" s="7" t="s">
        <v>27</v>
      </c>
      <c r="C23" s="7" t="s">
        <v>97</v>
      </c>
      <c r="D23" s="7" t="s">
        <v>97</v>
      </c>
      <c r="E23" s="7"/>
    </row>
    <row r="24" spans="1:5" ht="15" customHeight="1" x14ac:dyDescent="0.25">
      <c r="A24" s="7">
        <v>2</v>
      </c>
      <c r="B24" s="7" t="s">
        <v>17</v>
      </c>
      <c r="C24" s="7" t="s">
        <v>97</v>
      </c>
      <c r="D24" s="7" t="s">
        <v>97</v>
      </c>
      <c r="E24" s="7"/>
    </row>
    <row r="25" spans="1:5" ht="15" customHeight="1" x14ac:dyDescent="0.25">
      <c r="A25" s="7">
        <v>2</v>
      </c>
      <c r="B25" s="7" t="s">
        <v>42</v>
      </c>
      <c r="C25" s="7" t="s">
        <v>97</v>
      </c>
      <c r="D25" s="7" t="s">
        <v>97</v>
      </c>
      <c r="E25" s="7"/>
    </row>
    <row r="26" spans="1:5" ht="15" customHeight="1" x14ac:dyDescent="0.25">
      <c r="A26" s="7">
        <v>2</v>
      </c>
      <c r="B26" s="7" t="s">
        <v>28</v>
      </c>
      <c r="C26" s="7" t="s">
        <v>97</v>
      </c>
      <c r="D26" s="7" t="s">
        <v>100</v>
      </c>
      <c r="E26" s="7"/>
    </row>
    <row r="27" spans="1:5" ht="15" customHeight="1" x14ac:dyDescent="0.25">
      <c r="A27" s="7">
        <v>2</v>
      </c>
      <c r="B27" s="7" t="s">
        <v>39</v>
      </c>
      <c r="C27" s="7" t="s">
        <v>97</v>
      </c>
      <c r="D27" s="7" t="s">
        <v>97</v>
      </c>
      <c r="E27" s="7"/>
    </row>
    <row r="28" spans="1:5" ht="15" customHeight="1" x14ac:dyDescent="0.25">
      <c r="A28" s="7">
        <v>2</v>
      </c>
      <c r="B28" s="7" t="s">
        <v>24</v>
      </c>
      <c r="C28" s="7" t="s">
        <v>97</v>
      </c>
      <c r="D28" s="7" t="s">
        <v>97</v>
      </c>
      <c r="E28" s="7"/>
    </row>
    <row r="29" spans="1:5" ht="15" customHeight="1" x14ac:dyDescent="0.25">
      <c r="A29" s="7">
        <v>2</v>
      </c>
      <c r="B29" s="7" t="s">
        <v>49</v>
      </c>
      <c r="C29" s="7" t="s">
        <v>97</v>
      </c>
      <c r="D29" s="7" t="s">
        <v>100</v>
      </c>
      <c r="E29" s="7"/>
    </row>
    <row r="30" spans="1:5" ht="15" customHeight="1" x14ac:dyDescent="0.25">
      <c r="A30" s="7">
        <v>2</v>
      </c>
      <c r="B30" s="7" t="s">
        <v>32</v>
      </c>
      <c r="C30" s="7" t="s">
        <v>97</v>
      </c>
      <c r="D30" s="7" t="s">
        <v>97</v>
      </c>
      <c r="E30" s="7"/>
    </row>
    <row r="31" spans="1:5" ht="15" customHeight="1" x14ac:dyDescent="0.25">
      <c r="A31" s="7">
        <v>2</v>
      </c>
      <c r="B31" s="7" t="s">
        <v>23</v>
      </c>
      <c r="C31" s="7" t="s">
        <v>97</v>
      </c>
      <c r="D31" s="7" t="s">
        <v>97</v>
      </c>
      <c r="E31" s="7"/>
    </row>
    <row r="32" spans="1:5" ht="15" customHeight="1" x14ac:dyDescent="0.25">
      <c r="A32" s="7">
        <v>3</v>
      </c>
      <c r="B32" s="7" t="s">
        <v>44</v>
      </c>
      <c r="C32" s="7" t="s">
        <v>97</v>
      </c>
      <c r="D32" s="7" t="s">
        <v>97</v>
      </c>
      <c r="E32" s="7"/>
    </row>
    <row r="33" spans="1:5" ht="15" customHeight="1" x14ac:dyDescent="0.25">
      <c r="A33" s="7">
        <v>3</v>
      </c>
      <c r="B33" s="7" t="s">
        <v>27</v>
      </c>
      <c r="C33" s="7" t="s">
        <v>97</v>
      </c>
      <c r="D33" s="7" t="s">
        <v>97</v>
      </c>
      <c r="E33" s="7"/>
    </row>
    <row r="34" spans="1:5" ht="15" customHeight="1" x14ac:dyDescent="0.25">
      <c r="A34" s="7">
        <v>3</v>
      </c>
      <c r="B34" s="7" t="s">
        <v>42</v>
      </c>
      <c r="C34" s="7" t="s">
        <v>97</v>
      </c>
      <c r="D34" s="7" t="s">
        <v>97</v>
      </c>
      <c r="E34" s="7"/>
    </row>
    <row r="35" spans="1:5" ht="15" customHeight="1" x14ac:dyDescent="0.25">
      <c r="A35" s="7">
        <v>3</v>
      </c>
      <c r="B35" s="7" t="s">
        <v>38</v>
      </c>
      <c r="C35" s="7" t="s">
        <v>97</v>
      </c>
      <c r="D35" s="7" t="s">
        <v>97</v>
      </c>
      <c r="E35" s="7"/>
    </row>
    <row r="36" spans="1:5" ht="15" customHeight="1" x14ac:dyDescent="0.25">
      <c r="A36" s="7">
        <v>3</v>
      </c>
      <c r="B36" s="7" t="s">
        <v>48</v>
      </c>
      <c r="C36" s="7" t="s">
        <v>97</v>
      </c>
      <c r="D36" s="7" t="s">
        <v>97</v>
      </c>
      <c r="E36" s="7"/>
    </row>
    <row r="37" spans="1:5" ht="15" customHeight="1" x14ac:dyDescent="0.25">
      <c r="A37" s="7">
        <v>3</v>
      </c>
      <c r="B37" s="7" t="s">
        <v>37</v>
      </c>
      <c r="C37" s="7" t="s">
        <v>97</v>
      </c>
      <c r="D37" s="7" t="s">
        <v>97</v>
      </c>
      <c r="E37" s="7"/>
    </row>
    <row r="38" spans="1:5" ht="15" customHeight="1" x14ac:dyDescent="0.25">
      <c r="A38" s="7">
        <v>3</v>
      </c>
      <c r="B38" s="7" t="s">
        <v>19</v>
      </c>
      <c r="C38" s="7" t="s">
        <v>97</v>
      </c>
      <c r="D38" s="7" t="s">
        <v>97</v>
      </c>
      <c r="E38" s="7"/>
    </row>
    <row r="39" spans="1:5" ht="15" customHeight="1" x14ac:dyDescent="0.25">
      <c r="A39" s="7">
        <v>3</v>
      </c>
      <c r="B39" s="7" t="s">
        <v>35</v>
      </c>
      <c r="C39" s="7" t="s">
        <v>97</v>
      </c>
      <c r="D39" s="7" t="s">
        <v>97</v>
      </c>
      <c r="E39" s="7"/>
    </row>
    <row r="40" spans="1:5" ht="15" customHeight="1" x14ac:dyDescent="0.25">
      <c r="A40" s="7">
        <v>3</v>
      </c>
      <c r="B40" s="7" t="s">
        <v>16</v>
      </c>
      <c r="C40" s="7" t="s">
        <v>97</v>
      </c>
      <c r="D40" s="7" t="s">
        <v>97</v>
      </c>
      <c r="E40" s="7"/>
    </row>
    <row r="41" spans="1:5" ht="15" customHeight="1" x14ac:dyDescent="0.25">
      <c r="A41" s="7">
        <v>3</v>
      </c>
      <c r="B41" s="7" t="s">
        <v>25</v>
      </c>
      <c r="C41" s="7" t="s">
        <v>97</v>
      </c>
      <c r="D41" s="7" t="s">
        <v>97</v>
      </c>
      <c r="E41" s="7"/>
    </row>
    <row r="42" spans="1:5" ht="15" customHeight="1" x14ac:dyDescent="0.25">
      <c r="A42" s="7">
        <v>3</v>
      </c>
      <c r="B42" s="7" t="s">
        <v>26</v>
      </c>
      <c r="C42" s="7" t="s">
        <v>97</v>
      </c>
      <c r="D42" s="7" t="s">
        <v>97</v>
      </c>
      <c r="E42" s="7"/>
    </row>
    <row r="43" spans="1:5" ht="15" customHeight="1" x14ac:dyDescent="0.25">
      <c r="A43" s="7">
        <v>3</v>
      </c>
      <c r="B43" s="7" t="s">
        <v>18</v>
      </c>
      <c r="C43" s="7" t="s">
        <v>97</v>
      </c>
      <c r="D43" s="7" t="s">
        <v>97</v>
      </c>
      <c r="E43" s="7"/>
    </row>
    <row r="44" spans="1:5" ht="15" customHeight="1" x14ac:dyDescent="0.25">
      <c r="A44" s="7">
        <v>3</v>
      </c>
      <c r="B44" s="7" t="s">
        <v>40</v>
      </c>
      <c r="C44" s="7" t="s">
        <v>97</v>
      </c>
      <c r="D44" s="7" t="s">
        <v>97</v>
      </c>
      <c r="E44" s="7"/>
    </row>
    <row r="45" spans="1:5" ht="15" customHeight="1" x14ac:dyDescent="0.25">
      <c r="A45" s="7">
        <v>3</v>
      </c>
      <c r="B45" s="7" t="s">
        <v>32</v>
      </c>
      <c r="C45" s="7" t="s">
        <v>97</v>
      </c>
      <c r="D45" s="7" t="s">
        <v>97</v>
      </c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</sheetData>
  <dataValidations count="2">
    <dataValidation type="list" allowBlank="1" sqref="C5:D904" xr:uid="{00000000-0002-0000-0300-000001000000}">
      <formula1>"Oui,Non"</formula1>
      <formula2>0</formula2>
    </dataValidation>
    <dataValidation type="list" allowBlank="1" sqref="E5:E904" xr:uid="{00000000-0002-0000-0300-000002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zoomScaleNormal="100" workbookViewId="0">
      <selection activeCell="A5" sqref="A5:E6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68</v>
      </c>
    </row>
    <row r="2" spans="1:5" ht="15" customHeight="1" x14ac:dyDescent="0.25">
      <c r="A2" s="3" t="s">
        <v>69</v>
      </c>
    </row>
    <row r="4" spans="1:5" ht="15" customHeight="1" x14ac:dyDescent="0.25">
      <c r="A4" s="4" t="s">
        <v>53</v>
      </c>
      <c r="B4" s="4" t="s">
        <v>70</v>
      </c>
      <c r="C4" s="4" t="s">
        <v>71</v>
      </c>
      <c r="D4" s="4" t="s">
        <v>72</v>
      </c>
      <c r="E4" s="4" t="s">
        <v>73</v>
      </c>
    </row>
    <row r="5" spans="1:5" ht="15" customHeight="1" x14ac:dyDescent="0.25">
      <c r="A5" s="7"/>
      <c r="B5" s="7"/>
      <c r="C5" s="7"/>
      <c r="D5" s="7"/>
      <c r="E5" s="7"/>
    </row>
    <row r="6" spans="1:5" ht="15" customHeight="1" x14ac:dyDescent="0.25">
      <c r="A6" s="7"/>
      <c r="B6" s="7"/>
      <c r="C6" s="7"/>
      <c r="D6" s="7"/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1000000}">
      <formula1>"Nous,Adv"</formula1>
      <formula2>0</formula2>
    </dataValidation>
    <dataValidation type="list" allowBlank="1" sqref="E5:E204" xr:uid="{00000000-0002-0000-0400-000002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74</v>
      </c>
    </row>
    <row r="2" spans="1:4" ht="15" customHeight="1" x14ac:dyDescent="0.25">
      <c r="A2" s="3" t="s">
        <v>75</v>
      </c>
    </row>
    <row r="4" spans="1:4" ht="15" customHeight="1" x14ac:dyDescent="0.25">
      <c r="A4" s="4" t="s">
        <v>53</v>
      </c>
      <c r="B4" s="4" t="s">
        <v>13</v>
      </c>
      <c r="C4" s="4" t="s">
        <v>73</v>
      </c>
      <c r="D4" s="4" t="s">
        <v>76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1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tabSelected="1" zoomScaleNormal="100" workbookViewId="0">
      <selection activeCell="D5" sqref="D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77</v>
      </c>
    </row>
    <row r="2" spans="1:4" ht="15" customHeight="1" x14ac:dyDescent="0.25">
      <c r="A2" s="3" t="s">
        <v>78</v>
      </c>
    </row>
    <row r="4" spans="1:4" ht="15" customHeight="1" x14ac:dyDescent="0.25">
      <c r="A4" s="4" t="s">
        <v>53</v>
      </c>
      <c r="B4" s="4" t="s">
        <v>79</v>
      </c>
      <c r="C4" s="4" t="s">
        <v>80</v>
      </c>
      <c r="D4" s="4" t="s">
        <v>81</v>
      </c>
    </row>
    <row r="5" spans="1:4" ht="15" customHeight="1" x14ac:dyDescent="0.25">
      <c r="A5" s="7">
        <v>2</v>
      </c>
      <c r="B5" s="7" t="s">
        <v>27</v>
      </c>
      <c r="C5" s="7">
        <v>7</v>
      </c>
      <c r="D5" s="7" t="s">
        <v>100</v>
      </c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1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82</v>
      </c>
    </row>
    <row r="2" spans="1:7" ht="15" customHeight="1" x14ac:dyDescent="0.25">
      <c r="A2" s="3" t="s">
        <v>83</v>
      </c>
    </row>
    <row r="4" spans="1:7" ht="23.25" customHeight="1" x14ac:dyDescent="0.25">
      <c r="A4" s="4" t="s">
        <v>13</v>
      </c>
      <c r="B4" s="4" t="s">
        <v>84</v>
      </c>
      <c r="C4" s="4" t="s">
        <v>85</v>
      </c>
      <c r="D4" s="4" t="s">
        <v>86</v>
      </c>
      <c r="E4" s="4" t="s">
        <v>87</v>
      </c>
      <c r="F4" s="4" t="s">
        <v>88</v>
      </c>
      <c r="G4" s="4" t="s">
        <v>89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0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1</v>
      </c>
      <c r="C6" s="5">
        <f>COUNTIFS(Convocations!$B:$B,A6,Convocations!$D:$D,"Oui")</f>
        <v>1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2</v>
      </c>
      <c r="C7" s="5">
        <f>COUNTIFS(Convocations!$B:$B,A7,Convocations!$D:$D,"Oui")</f>
        <v>2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1</v>
      </c>
      <c r="C8" s="5">
        <f>COUNTIFS(Convocations!$B:$B,A8,Convocations!$D:$D,"Oui")</f>
        <v>1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2</v>
      </c>
      <c r="C9" s="5">
        <f>COUNTIFS(Convocations!$B:$B,A9,Convocations!$D:$D,"Oui")</f>
        <v>2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2</v>
      </c>
      <c r="C10" s="5">
        <f>COUNTIFS(Convocations!$B:$B,A10,Convocations!$D:$D,"Oui")</f>
        <v>2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1</v>
      </c>
      <c r="C11" s="5">
        <f>COUNTIFS(Convocations!$B:$B,A11,Convocations!$D:$D,"Oui")</f>
        <v>1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1</v>
      </c>
      <c r="C14" s="5">
        <f>COUNTIFS(Convocations!$B:$B,A14,Convocations!$D:$D,"Oui")</f>
        <v>1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1</v>
      </c>
      <c r="C15" s="5">
        <f>COUNTIFS(Convocations!$B:$B,A15,Convocations!$D:$D,"Oui")</f>
        <v>1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2</v>
      </c>
      <c r="C16" s="5">
        <f>COUNTIFS(Convocations!$B:$B,A16,Convocations!$D:$D,"Oui")</f>
        <v>2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2</v>
      </c>
      <c r="C17" s="5">
        <f>COUNTIFS(Convocations!$B:$B,A17,Convocations!$D:$D,"Oui")</f>
        <v>2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2</v>
      </c>
      <c r="C18" s="5">
        <f>COUNTIFS(Convocations!$B:$B,A18,Convocations!$D:$D,"Oui")</f>
        <v>2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1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1</v>
      </c>
      <c r="C21" s="5">
        <f>COUNTIFS(Convocations!$B:$B,A21,Convocations!$D:$D,"Oui")</f>
        <v>1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0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2</v>
      </c>
      <c r="C23" s="5">
        <f>COUNTIFS(Convocations!$B:$B,A23,Convocations!$D:$D,"Oui")</f>
        <v>2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1</v>
      </c>
      <c r="C24" s="5">
        <f>COUNTIFS(Convocations!$B:$B,A24,Convocations!$D:$D,"Oui")</f>
        <v>1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2</v>
      </c>
      <c r="C26" s="5">
        <f>COUNTIFS(Convocations!$B:$B,A26,Convocations!$D:$D,"Oui")</f>
        <v>2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1</v>
      </c>
      <c r="C27" s="5">
        <f>COUNTIFS(Convocations!$B:$B,A27,Convocations!$D:$D,"Oui")</f>
        <v>1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2</v>
      </c>
      <c r="C28" s="5">
        <f>COUNTIFS(Convocations!$B:$B,A28,Convocations!$D:$D,"Oui")</f>
        <v>2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2</v>
      </c>
      <c r="C29" s="5">
        <f>COUNTIFS(Convocations!$B:$B,A29,Convocations!$D:$D,"Oui")</f>
        <v>2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1</v>
      </c>
      <c r="C30" s="5">
        <f>COUNTIFS(Convocations!$B:$B,A30,Convocations!$D:$D,"Oui")</f>
        <v>1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2</v>
      </c>
      <c r="C31" s="5">
        <f>COUNTIFS(Convocations!$B:$B,A31,Convocations!$D:$D,"Oui")</f>
        <v>2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1</v>
      </c>
      <c r="C32" s="5">
        <f>COUNTIFS(Convocations!$B:$B,A32,Convocations!$D:$D,"Oui")</f>
        <v>1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2</v>
      </c>
      <c r="C33" s="5">
        <f>COUNTIFS(Convocations!$B:$B,A33,Convocations!$D:$D,"Oui")</f>
        <v>2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0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2</v>
      </c>
      <c r="C35" s="5">
        <f>COUNTIFS(Convocations!$B:$B,A35,Convocations!$D:$D,"Oui")</f>
        <v>2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1</v>
      </c>
      <c r="C37" s="5">
        <f>COUNTIFS(Convocations!$B:$B,A37,Convocations!$D:$D,"Oui")</f>
        <v>1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0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2</v>
      </c>
      <c r="C39" s="5">
        <f>COUNTIFS(Convocations!$B:$B,A39,Convocations!$D:$D,"Oui")</f>
        <v>2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1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2026-09-15T18:38:32Z</dcterms:modified>
  <dc:language>en-US</dc:language>
</cp:coreProperties>
</file>