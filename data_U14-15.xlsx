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1515BD08-69D5-4B62-93E1-EEBD13EA556A}" xr6:coauthVersionLast="47" xr6:coauthVersionMax="47" xr10:uidLastSave="{00000000-0000-0000-0000-000000000000}"/>
  <bookViews>
    <workbookView xWindow="28680" yWindow="-120" windowWidth="29040" windowHeight="15720" tabRatio="500" activeTab="4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8" l="1"/>
  <c r="G41" i="8" s="1"/>
  <c r="A40" i="8"/>
  <c r="G40" i="8" s="1"/>
  <c r="A39" i="8"/>
  <c r="G39" i="8" s="1"/>
  <c r="A38" i="8"/>
  <c r="D38" i="8" s="1"/>
  <c r="A37" i="8"/>
  <c r="G37" i="8" s="1"/>
  <c r="A36" i="8"/>
  <c r="E36" i="8" s="1"/>
  <c r="A35" i="8"/>
  <c r="G35" i="8" s="1"/>
  <c r="A34" i="8"/>
  <c r="G34" i="8" s="1"/>
  <c r="A33" i="8"/>
  <c r="B33" i="8" s="1"/>
  <c r="A32" i="8"/>
  <c r="G32" i="8" s="1"/>
  <c r="G31" i="8"/>
  <c r="A31" i="8"/>
  <c r="E31" i="8" s="1"/>
  <c r="A30" i="8"/>
  <c r="G30" i="8" s="1"/>
  <c r="A29" i="8"/>
  <c r="F29" i="8" s="1"/>
  <c r="B28" i="8"/>
  <c r="A28" i="8"/>
  <c r="G28" i="8" s="1"/>
  <c r="A27" i="8"/>
  <c r="G27" i="8" s="1"/>
  <c r="G26" i="8"/>
  <c r="F26" i="8"/>
  <c r="E26" i="8"/>
  <c r="D26" i="8"/>
  <c r="A26" i="8"/>
  <c r="C26" i="8" s="1"/>
  <c r="A25" i="8"/>
  <c r="G25" i="8" s="1"/>
  <c r="A24" i="8"/>
  <c r="E24" i="8" s="1"/>
  <c r="A23" i="8"/>
  <c r="G23" i="8" s="1"/>
  <c r="A22" i="8"/>
  <c r="G22" i="8" s="1"/>
  <c r="E21" i="8"/>
  <c r="D21" i="8"/>
  <c r="C21" i="8"/>
  <c r="A21" i="8"/>
  <c r="G21" i="8" s="1"/>
  <c r="A20" i="8"/>
  <c r="G20" i="8" s="1"/>
  <c r="E19" i="8"/>
  <c r="A19" i="8"/>
  <c r="D19" i="8" s="1"/>
  <c r="A18" i="8"/>
  <c r="G18" i="8" s="1"/>
  <c r="A17" i="8"/>
  <c r="E17" i="8" s="1"/>
  <c r="A16" i="8"/>
  <c r="G16" i="8" s="1"/>
  <c r="A15" i="8"/>
  <c r="G15" i="8" s="1"/>
  <c r="F14" i="8"/>
  <c r="E14" i="8"/>
  <c r="D14" i="8"/>
  <c r="C14" i="8"/>
  <c r="A14" i="8"/>
  <c r="B14" i="8" s="1"/>
  <c r="A13" i="8"/>
  <c r="G13" i="8" s="1"/>
  <c r="G12" i="8"/>
  <c r="A12" i="8"/>
  <c r="E12" i="8" s="1"/>
  <c r="A11" i="8"/>
  <c r="B11" i="8" s="1"/>
  <c r="A10" i="8"/>
  <c r="F10" i="8" s="1"/>
  <c r="G9" i="8"/>
  <c r="F9" i="8"/>
  <c r="E9" i="8"/>
  <c r="D9" i="8"/>
  <c r="A9" i="8"/>
  <c r="B9" i="8" s="1"/>
  <c r="A8" i="8"/>
  <c r="G8" i="8" s="1"/>
  <c r="F7" i="8"/>
  <c r="E7" i="8"/>
  <c r="D7" i="8"/>
  <c r="A7" i="8"/>
  <c r="C7" i="8" s="1"/>
  <c r="A6" i="8"/>
  <c r="G6" i="8" s="1"/>
  <c r="G5" i="8"/>
  <c r="A5" i="8"/>
  <c r="F5" i="8" s="1"/>
  <c r="A64" i="3"/>
  <c r="I64" i="3" s="1"/>
  <c r="A63" i="3"/>
  <c r="I63" i="3" s="1"/>
  <c r="A62" i="3"/>
  <c r="I62" i="3" s="1"/>
  <c r="A61" i="3"/>
  <c r="J61" i="3" s="1"/>
  <c r="A60" i="3"/>
  <c r="J60" i="3" s="1"/>
  <c r="A59" i="3"/>
  <c r="J59" i="3" s="1"/>
  <c r="A58" i="3"/>
  <c r="J58" i="3" s="1"/>
  <c r="A57" i="3"/>
  <c r="J57" i="3" s="1"/>
  <c r="A56" i="3"/>
  <c r="I56" i="3" s="1"/>
  <c r="A55" i="3"/>
  <c r="I55" i="3" s="1"/>
  <c r="J54" i="3"/>
  <c r="A54" i="3"/>
  <c r="I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J48" i="3" s="1"/>
  <c r="A47" i="3"/>
  <c r="I47" i="3" s="1"/>
  <c r="A46" i="3"/>
  <c r="I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I40" i="3" s="1"/>
  <c r="A39" i="3"/>
  <c r="I39" i="3" s="1"/>
  <c r="A38" i="3"/>
  <c r="I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I32" i="3" s="1"/>
  <c r="A31" i="3"/>
  <c r="I31" i="3" s="1"/>
  <c r="A30" i="3"/>
  <c r="I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I24" i="3" s="1"/>
  <c r="A23" i="3"/>
  <c r="I23" i="3" s="1"/>
  <c r="A22" i="3"/>
  <c r="I22" i="3" s="1"/>
  <c r="A21" i="3"/>
  <c r="J21" i="3" s="1"/>
  <c r="A20" i="3"/>
  <c r="J20" i="3" s="1"/>
  <c r="A19" i="3"/>
  <c r="J19" i="3" s="1"/>
  <c r="A18" i="3"/>
  <c r="J18" i="3" s="1"/>
  <c r="A17" i="3"/>
  <c r="J17" i="3" s="1"/>
  <c r="A16" i="3"/>
  <c r="I16" i="3" s="1"/>
  <c r="A15" i="3"/>
  <c r="I15" i="3" s="1"/>
  <c r="A14" i="3"/>
  <c r="I14" i="3" s="1"/>
  <c r="A13" i="3"/>
  <c r="J13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A6" i="3"/>
  <c r="I6" i="3" s="1"/>
  <c r="A5" i="3"/>
  <c r="J5" i="3" s="1"/>
  <c r="B35" i="8" l="1"/>
  <c r="C35" i="8"/>
  <c r="G10" i="8"/>
  <c r="D35" i="8"/>
  <c r="G17" i="8"/>
  <c r="J14" i="3"/>
  <c r="F19" i="8"/>
  <c r="C28" i="8"/>
  <c r="F35" i="8"/>
  <c r="F17" i="8"/>
  <c r="E35" i="8"/>
  <c r="J38" i="3"/>
  <c r="F12" i="8"/>
  <c r="G19" i="8"/>
  <c r="D28" i="8"/>
  <c r="E28" i="8"/>
  <c r="J62" i="3"/>
  <c r="F28" i="8"/>
  <c r="F36" i="8"/>
  <c r="B21" i="8"/>
  <c r="G36" i="8"/>
  <c r="G29" i="8"/>
  <c r="E38" i="8"/>
  <c r="F21" i="8"/>
  <c r="F38" i="8"/>
  <c r="J46" i="3"/>
  <c r="G14" i="8"/>
  <c r="F31" i="8"/>
  <c r="G38" i="8"/>
  <c r="B16" i="8"/>
  <c r="B40" i="8"/>
  <c r="G7" i="8"/>
  <c r="C16" i="8"/>
  <c r="F24" i="8"/>
  <c r="C33" i="8"/>
  <c r="C40" i="8"/>
  <c r="J22" i="3"/>
  <c r="D16" i="8"/>
  <c r="G24" i="8"/>
  <c r="D33" i="8"/>
  <c r="D40" i="8"/>
  <c r="E33" i="8"/>
  <c r="E40" i="8"/>
  <c r="J6" i="3"/>
  <c r="J30" i="3"/>
  <c r="E16" i="8"/>
  <c r="C9" i="8"/>
  <c r="F16" i="8"/>
  <c r="F33" i="8"/>
  <c r="F40" i="8"/>
  <c r="G33" i="8"/>
  <c r="J7" i="3"/>
  <c r="J15" i="3"/>
  <c r="J23" i="3"/>
  <c r="J31" i="3"/>
  <c r="J39" i="3"/>
  <c r="J47" i="3"/>
  <c r="J55" i="3"/>
  <c r="J63" i="3"/>
  <c r="C11" i="8"/>
  <c r="B32" i="8"/>
  <c r="J8" i="3"/>
  <c r="J16" i="3"/>
  <c r="J24" i="3"/>
  <c r="J32" i="3"/>
  <c r="J40" i="3"/>
  <c r="J56" i="3"/>
  <c r="J64" i="3"/>
  <c r="C8" i="8"/>
  <c r="F11" i="8"/>
  <c r="B15" i="8"/>
  <c r="E18" i="8"/>
  <c r="D25" i="8"/>
  <c r="C18" i="8"/>
  <c r="B25" i="8"/>
  <c r="I48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7" i="3"/>
  <c r="I25" i="3"/>
  <c r="I33" i="3"/>
  <c r="I41" i="3"/>
  <c r="I49" i="3"/>
  <c r="I57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8" i="3"/>
  <c r="I26" i="3"/>
  <c r="I34" i="3"/>
  <c r="I42" i="3"/>
  <c r="I50" i="3"/>
  <c r="I58" i="3"/>
  <c r="E5" i="8"/>
  <c r="D12" i="8"/>
  <c r="C19" i="8"/>
  <c r="F22" i="8"/>
  <c r="B26" i="8"/>
  <c r="E29" i="8"/>
  <c r="D36" i="8"/>
  <c r="I11" i="3"/>
  <c r="I19" i="3"/>
  <c r="I27" i="3"/>
  <c r="I35" i="3"/>
  <c r="I43" i="3"/>
  <c r="I51" i="3"/>
  <c r="I59" i="3"/>
  <c r="B30" i="8"/>
  <c r="B23" i="8"/>
  <c r="B6" i="8"/>
  <c r="C30" i="8"/>
  <c r="B20" i="8"/>
  <c r="E23" i="8"/>
  <c r="D30" i="8"/>
  <c r="F23" i="8"/>
  <c r="B37" i="8"/>
  <c r="I12" i="3"/>
  <c r="I20" i="3"/>
  <c r="I28" i="3"/>
  <c r="I36" i="3"/>
  <c r="I44" i="3"/>
  <c r="I52" i="3"/>
  <c r="I60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3" i="3"/>
  <c r="I21" i="3"/>
  <c r="I29" i="3"/>
  <c r="I37" i="3"/>
  <c r="I45" i="3"/>
  <c r="I53" i="3"/>
  <c r="I61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<sst xmlns="http://schemas.openxmlformats.org/spreadsheetml/2006/main" count="453" uniqueCount="107">
  <si>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</si>
  <si>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</si>
  <si>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</si>
  <si>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</si>
  <si>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</si>
  <si>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</si>
  <si>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</si>
  <si>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</si>
  <si>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</si>
  <si>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</si>
  <si>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</si>
  <si>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</si>
  <si>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</si>
  <si>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</si>
  <si>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</si>
  <si>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</si>
  <si>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</si>
  <si>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</si>
  <si>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</si>
  <si>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</si>
  <si>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</si>
  <si>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</si>
  <si>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</si>
  <si>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</si>
  <si>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</si>
  <si>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</si>
  <si>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</si>
  <si>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</si>
  <si>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</si>
  <si>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</si>
  <si>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</si>
  <si>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</si>
  <si>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</si>
  <si>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</si>
  <si>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</si>
  <si>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</si>
  <si>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</si>
  <si>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</si>
  <si>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</si>
  <si>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</si>
  <si>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</si>
  <si>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</si>
  <si>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</si>
  <si>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</si>
  <si>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</si>
  <si>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</si>
  <si>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</si>
  <si>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</si>
  <si>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</si>
  <si>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</si>
  <si>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</si>
  <si>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</si>
  <si>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</si>
  <si>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</si>
  <si>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</si>
  <si>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</si>
  <si>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</si>
  <si>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</si>
  <si>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</si>
  <si>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</si>
  <si>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</si>
  <si>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</si>
  <si>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</si>
  <si>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</si>
  <si>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</si>
  <si>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</si>
  <si>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</si>
  <si>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</si>
  <si>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</si>
  <si>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</si>
  <si>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</si>
  <si>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</si>
  <si>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</si>
  <si>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</si>
  <si>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</si>
  <si>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</si>
  <si>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</si>
  <si>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</si>
  <si>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</si>
  <si>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</si>
  <si>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</si>
  <si>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</si>
  <si>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</si>
  <si>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</si>
  <si>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</si>
  <si>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</si>
  <si>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</si>
  <si>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</si>
  <si>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</si>
  <si>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</si>
  <si>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</si>
  <si>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</si>
  <si>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</si>
  <si>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</si>
  <si>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</si>
  <si>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</si>
  <si>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</si>
  <si>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</si>
  <si>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</si>
  <si>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</si>
  <si>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Turckheim</t>
  </si>
  <si>
    <t>Dinsheim</t>
  </si>
  <si>
    <t>Non</t>
  </si>
  <si>
    <t>EVV</t>
  </si>
  <si>
    <t>Jebsheim</t>
  </si>
  <si>
    <t>Nous</t>
  </si>
  <si>
    <t>Selestat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</si>
</sst>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zoomScaleNormal="100" workbookViewId="0">
      <selection activeCell="H13" sqref="H13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8">
        <v>46284</v>
      </c>
      <c r="C8" s="7" t="s">
        <v>67</v>
      </c>
      <c r="D8" s="7" t="s">
        <v>100</v>
      </c>
      <c r="E8" s="7" t="s">
        <v>65</v>
      </c>
      <c r="F8" s="7" t="s">
        <v>69</v>
      </c>
      <c r="G8" s="7">
        <v>0</v>
      </c>
      <c r="H8" s="7">
        <v>6</v>
      </c>
      <c r="I8" s="5">
        <f>COUNTIFS(Convocations!$A:$A,A8,Convocations!$C:$C,"Oui")</f>
        <v>13</v>
      </c>
      <c r="J8" s="5">
        <f>COUNTIFS(Convocations!$A:$A,A8,Convocations!$D:$D,"Oui")</f>
        <v>11</v>
      </c>
    </row>
    <row r="9" spans="1:10" ht="15" customHeight="1" x14ac:dyDescent="0.25">
      <c r="A9" s="5">
        <f t="shared" si="0"/>
        <v>5</v>
      </c>
      <c r="B9" s="8">
        <v>46284</v>
      </c>
      <c r="C9" s="7" t="s">
        <v>63</v>
      </c>
      <c r="D9" s="7" t="s">
        <v>101</v>
      </c>
      <c r="E9" s="7" t="s">
        <v>65</v>
      </c>
      <c r="F9" s="7" t="s">
        <v>69</v>
      </c>
      <c r="G9" s="7">
        <v>1</v>
      </c>
      <c r="H9" s="7">
        <v>0</v>
      </c>
      <c r="I9" s="5">
        <f>COUNTIFS(Convocations!$A:$A,A9,Convocations!$C:$C,"Oui")</f>
        <v>14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8">
        <v>46291</v>
      </c>
      <c r="C10" s="7" t="s">
        <v>63</v>
      </c>
      <c r="D10" s="7" t="s">
        <v>103</v>
      </c>
      <c r="E10" s="7" t="s">
        <v>65</v>
      </c>
      <c r="F10" s="7" t="s">
        <v>69</v>
      </c>
      <c r="G10" s="7">
        <v>3</v>
      </c>
      <c r="H10" s="7">
        <v>3</v>
      </c>
      <c r="I10" s="5">
        <f>COUNTIFS(Convocations!$A:$A,A10,Convocations!$C:$C,"Oui")</f>
        <v>14</v>
      </c>
      <c r="J10" s="5">
        <f>COUNTIFS(Convocations!$A:$A,A10,Convocations!$D:$D,"Oui")</f>
        <v>11</v>
      </c>
    </row>
    <row r="11" spans="1:10" ht="15" customHeight="1" x14ac:dyDescent="0.25">
      <c r="A11" s="5">
        <f t="shared" si="0"/>
        <v>7</v>
      </c>
      <c r="B11" s="8">
        <v>46291</v>
      </c>
      <c r="C11" s="7" t="s">
        <v>67</v>
      </c>
      <c r="D11" s="7" t="s">
        <v>104</v>
      </c>
      <c r="E11" s="7" t="s">
        <v>65</v>
      </c>
      <c r="F11" s="7" t="s">
        <v>66</v>
      </c>
      <c r="G11" s="7">
        <v>2</v>
      </c>
      <c r="H11" s="7">
        <v>4</v>
      </c>
      <c r="I11" s="5">
        <f>COUNTIFS(Convocations!$A:$A,A11,Convocations!$C:$C,"Oui")</f>
        <v>14</v>
      </c>
      <c r="J11" s="5">
        <f>COUNTIFS(Convocations!$A:$A,A11,Convocations!$D:$D,"Oui")</f>
        <v>11</v>
      </c>
    </row>
    <row r="12" spans="1:10" ht="15" customHeight="1" x14ac:dyDescent="0.25">
      <c r="A12" s="5">
        <f t="shared" si="0"/>
        <v>8</v>
      </c>
      <c r="B12" s="8">
        <v>46298</v>
      </c>
      <c r="C12" s="7" t="s">
        <v>67</v>
      </c>
      <c r="D12" s="7" t="s">
        <v>106</v>
      </c>
      <c r="E12" s="7" t="s">
        <v>65</v>
      </c>
      <c r="F12" s="7" t="s">
        <v>69</v>
      </c>
      <c r="G12" s="7">
        <v>0</v>
      </c>
      <c r="H12" s="7">
        <v>10</v>
      </c>
      <c r="I12" s="5">
        <f>COUNTIFS(Convocations!$A:$A,A12,Convocations!$C:$C,"Oui")</f>
        <v>13</v>
      </c>
      <c r="J12" s="5">
        <f>COUNTIFS(Convocations!$A:$A,A12,Convocations!$D:$D,"Oui")</f>
        <v>11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opLeftCell="A64" zoomScaleNormal="100" workbookViewId="0">
      <selection activeCell="E90" sqref="E90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77</v>
      </c>
      <c r="D19" s="7" t="s">
        <v>77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77</v>
      </c>
      <c r="D20" s="7" t="s">
        <v>77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77</v>
      </c>
      <c r="D21" s="7" t="s">
        <v>77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77</v>
      </c>
      <c r="D22" s="7" t="s">
        <v>77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77</v>
      </c>
      <c r="D23" s="7" t="s">
        <v>77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77</v>
      </c>
      <c r="D24" s="7" t="s">
        <v>77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77</v>
      </c>
      <c r="D25" s="7" t="s">
        <v>77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77</v>
      </c>
      <c r="D26" s="7" t="s">
        <v>102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77</v>
      </c>
      <c r="D27" s="7" t="s">
        <v>77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77</v>
      </c>
      <c r="D28" s="7" t="s">
        <v>77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77</v>
      </c>
      <c r="D29" s="7" t="s">
        <v>102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77</v>
      </c>
      <c r="D30" s="7" t="s">
        <v>77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77</v>
      </c>
      <c r="D31" s="7" t="s">
        <v>77</v>
      </c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25">
      <c r="A46" s="7">
        <v>4</v>
      </c>
      <c r="B46" s="7" t="s">
        <v>21</v>
      </c>
      <c r="C46" s="7" t="s">
        <v>77</v>
      </c>
      <c r="D46" s="7" t="s">
        <v>77</v>
      </c>
      <c r="E46" s="7"/>
    </row>
    <row r="47" spans="1:5" ht="15" customHeight="1" x14ac:dyDescent="0.25">
      <c r="A47" s="7">
        <v>4</v>
      </c>
      <c r="B47" s="7" t="s">
        <v>43</v>
      </c>
      <c r="C47" s="7" t="s">
        <v>77</v>
      </c>
      <c r="D47" s="7" t="s">
        <v>102</v>
      </c>
      <c r="E47" s="7"/>
    </row>
    <row r="48" spans="1:5" ht="15" customHeight="1" x14ac:dyDescent="0.25">
      <c r="A48" s="7">
        <v>4</v>
      </c>
      <c r="B48" s="7" t="s">
        <v>41</v>
      </c>
      <c r="C48" s="7" t="s">
        <v>77</v>
      </c>
      <c r="D48" s="7" t="s">
        <v>77</v>
      </c>
      <c r="E48" s="7"/>
    </row>
    <row r="49" spans="1:5" ht="15" customHeight="1" x14ac:dyDescent="0.25">
      <c r="A49" s="7">
        <v>4</v>
      </c>
      <c r="B49" s="7" t="s">
        <v>39</v>
      </c>
      <c r="C49" s="7" t="s">
        <v>77</v>
      </c>
      <c r="D49" s="7" t="s">
        <v>102</v>
      </c>
      <c r="E49" s="7"/>
    </row>
    <row r="50" spans="1:5" ht="15" customHeight="1" x14ac:dyDescent="0.25">
      <c r="A50" s="7">
        <v>4</v>
      </c>
      <c r="B50" s="7" t="s">
        <v>29</v>
      </c>
      <c r="C50" s="7" t="s">
        <v>77</v>
      </c>
      <c r="D50" s="7" t="s">
        <v>77</v>
      </c>
      <c r="E50" s="7"/>
    </row>
    <row r="51" spans="1:5" ht="15" customHeight="1" x14ac:dyDescent="0.25">
      <c r="A51" s="7">
        <v>4</v>
      </c>
      <c r="B51" s="7" t="s">
        <v>46</v>
      </c>
      <c r="C51" s="7" t="s">
        <v>77</v>
      </c>
      <c r="D51" s="7" t="s">
        <v>77</v>
      </c>
      <c r="E51" s="7"/>
    </row>
    <row r="52" spans="1:5" ht="15" customHeight="1" x14ac:dyDescent="0.25">
      <c r="A52" s="7">
        <v>4</v>
      </c>
      <c r="B52" s="7" t="s">
        <v>49</v>
      </c>
      <c r="C52" s="7" t="s">
        <v>77</v>
      </c>
      <c r="D52" s="7" t="s">
        <v>77</v>
      </c>
      <c r="E52" s="7"/>
    </row>
    <row r="53" spans="1:5" ht="15" customHeight="1" x14ac:dyDescent="0.25">
      <c r="A53" s="7">
        <v>4</v>
      </c>
      <c r="B53" s="7" t="s">
        <v>17</v>
      </c>
      <c r="C53" s="7" t="s">
        <v>77</v>
      </c>
      <c r="D53" s="7" t="s">
        <v>77</v>
      </c>
      <c r="E53" s="7"/>
    </row>
    <row r="54" spans="1:5" ht="15" customHeight="1" x14ac:dyDescent="0.25">
      <c r="A54" s="7">
        <v>4</v>
      </c>
      <c r="B54" s="7" t="s">
        <v>28</v>
      </c>
      <c r="C54" s="7" t="s">
        <v>77</v>
      </c>
      <c r="D54" s="7" t="s">
        <v>77</v>
      </c>
      <c r="E54" s="7"/>
    </row>
    <row r="55" spans="1:5" ht="15" customHeight="1" x14ac:dyDescent="0.25">
      <c r="A55" s="7">
        <v>4</v>
      </c>
      <c r="B55" s="7" t="s">
        <v>27</v>
      </c>
      <c r="C55" s="7" t="s">
        <v>77</v>
      </c>
      <c r="D55" s="7" t="s">
        <v>77</v>
      </c>
      <c r="E55" s="7"/>
    </row>
    <row r="56" spans="1:5" ht="15" customHeight="1" x14ac:dyDescent="0.25">
      <c r="A56" s="7">
        <v>4</v>
      </c>
      <c r="B56" s="7" t="s">
        <v>23</v>
      </c>
      <c r="C56" s="7" t="s">
        <v>77</v>
      </c>
      <c r="D56" s="7" t="s">
        <v>77</v>
      </c>
      <c r="E56" s="7"/>
    </row>
    <row r="57" spans="1:5" ht="15" customHeight="1" x14ac:dyDescent="0.25">
      <c r="A57" s="7">
        <v>4</v>
      </c>
      <c r="B57" s="7" t="s">
        <v>30</v>
      </c>
      <c r="C57" s="7" t="s">
        <v>77</v>
      </c>
      <c r="D57" s="7" t="s">
        <v>77</v>
      </c>
      <c r="E57" s="7"/>
    </row>
    <row r="58" spans="1:5" ht="15" customHeight="1" x14ac:dyDescent="0.25">
      <c r="A58" s="7">
        <v>4</v>
      </c>
      <c r="B58" s="7" t="s">
        <v>47</v>
      </c>
      <c r="C58" s="7" t="s">
        <v>77</v>
      </c>
      <c r="D58" s="7" t="s">
        <v>77</v>
      </c>
      <c r="E58" s="7"/>
    </row>
    <row r="59" spans="1:5" ht="15" customHeight="1" x14ac:dyDescent="0.25">
      <c r="A59" s="7">
        <v>5</v>
      </c>
      <c r="B59" s="7" t="s">
        <v>32</v>
      </c>
      <c r="C59" s="7" t="s">
        <v>77</v>
      </c>
      <c r="D59" s="7"/>
      <c r="E59" s="7"/>
    </row>
    <row r="60" spans="1:5" ht="15" customHeight="1" x14ac:dyDescent="0.25">
      <c r="A60" s="7">
        <v>5</v>
      </c>
      <c r="B60" s="7" t="s">
        <v>48</v>
      </c>
      <c r="C60" s="7" t="s">
        <v>77</v>
      </c>
      <c r="D60" s="7"/>
      <c r="E60" s="7"/>
    </row>
    <row r="61" spans="1:5" ht="15" customHeight="1" x14ac:dyDescent="0.25">
      <c r="A61" s="7">
        <v>5</v>
      </c>
      <c r="B61" s="7" t="s">
        <v>44</v>
      </c>
      <c r="C61" s="7" t="s">
        <v>77</v>
      </c>
      <c r="D61" s="7"/>
      <c r="E61" s="7"/>
    </row>
    <row r="62" spans="1:5" ht="15" customHeight="1" x14ac:dyDescent="0.25">
      <c r="A62" s="7">
        <v>5</v>
      </c>
      <c r="B62" s="7" t="s">
        <v>42</v>
      </c>
      <c r="C62" s="7" t="s">
        <v>77</v>
      </c>
      <c r="D62" s="7"/>
      <c r="E62" s="7"/>
    </row>
    <row r="63" spans="1:5" ht="15" customHeight="1" x14ac:dyDescent="0.25">
      <c r="A63" s="7">
        <v>5</v>
      </c>
      <c r="B63" s="7" t="s">
        <v>33</v>
      </c>
      <c r="C63" s="7" t="s">
        <v>77</v>
      </c>
      <c r="D63" s="7"/>
      <c r="E63" s="7"/>
    </row>
    <row r="64" spans="1:5" ht="15" customHeight="1" x14ac:dyDescent="0.25">
      <c r="A64" s="7">
        <v>5</v>
      </c>
      <c r="B64" s="7" t="s">
        <v>19</v>
      </c>
      <c r="C64" s="7" t="s">
        <v>77</v>
      </c>
      <c r="D64" s="7"/>
      <c r="E64" s="7"/>
    </row>
    <row r="65" spans="1:5" ht="15" customHeight="1" x14ac:dyDescent="0.25">
      <c r="A65" s="7">
        <v>5</v>
      </c>
      <c r="B65" s="7" t="s">
        <v>38</v>
      </c>
      <c r="C65" s="7" t="s">
        <v>77</v>
      </c>
      <c r="D65" s="7"/>
      <c r="E65" s="7"/>
    </row>
    <row r="66" spans="1:5" ht="15" customHeight="1" x14ac:dyDescent="0.25">
      <c r="A66" s="7">
        <v>5</v>
      </c>
      <c r="B66" s="7" t="s">
        <v>40</v>
      </c>
      <c r="C66" s="7" t="s">
        <v>77</v>
      </c>
      <c r="D66" s="7"/>
      <c r="E66" s="7"/>
    </row>
    <row r="67" spans="1:5" ht="15" customHeight="1" x14ac:dyDescent="0.25">
      <c r="A67" s="7">
        <v>5</v>
      </c>
      <c r="B67" s="7" t="s">
        <v>18</v>
      </c>
      <c r="C67" s="7" t="s">
        <v>77</v>
      </c>
      <c r="D67" s="7"/>
      <c r="E67" s="7"/>
    </row>
    <row r="68" spans="1:5" ht="15" customHeight="1" x14ac:dyDescent="0.25">
      <c r="A68" s="7">
        <v>5</v>
      </c>
      <c r="B68" s="7" t="s">
        <v>31</v>
      </c>
      <c r="C68" s="7" t="s">
        <v>77</v>
      </c>
      <c r="D68" s="7"/>
      <c r="E68" s="7"/>
    </row>
    <row r="69" spans="1:5" ht="15" customHeight="1" x14ac:dyDescent="0.25">
      <c r="A69" s="7">
        <v>5</v>
      </c>
      <c r="B69" s="7" t="s">
        <v>25</v>
      </c>
      <c r="C69" s="7" t="s">
        <v>77</v>
      </c>
      <c r="D69" s="7"/>
      <c r="E69" s="7"/>
    </row>
    <row r="70" spans="1:5" ht="15" customHeight="1" x14ac:dyDescent="0.25">
      <c r="A70" s="7">
        <v>5</v>
      </c>
      <c r="B70" s="7" t="s">
        <v>16</v>
      </c>
      <c r="C70" s="7" t="s">
        <v>77</v>
      </c>
      <c r="D70" s="7"/>
      <c r="E70" s="7"/>
    </row>
    <row r="71" spans="1:5" ht="15" customHeight="1" x14ac:dyDescent="0.25">
      <c r="A71" s="7">
        <v>5</v>
      </c>
      <c r="B71" s="7" t="s">
        <v>37</v>
      </c>
      <c r="C71" s="7" t="s">
        <v>77</v>
      </c>
      <c r="D71" s="7"/>
      <c r="E71" s="7"/>
    </row>
    <row r="72" spans="1:5" ht="15" customHeight="1" x14ac:dyDescent="0.25">
      <c r="A72" s="7">
        <v>5</v>
      </c>
      <c r="B72" s="7" t="s">
        <v>26</v>
      </c>
      <c r="C72" s="7" t="s">
        <v>77</v>
      </c>
      <c r="D72" s="7"/>
      <c r="E72" s="7"/>
    </row>
    <row r="73" spans="1:5" ht="15" customHeight="1" x14ac:dyDescent="0.25">
      <c r="A73" s="7">
        <v>7</v>
      </c>
      <c r="B73" s="7" t="s">
        <v>42</v>
      </c>
      <c r="C73" s="7" t="s">
        <v>77</v>
      </c>
      <c r="D73" s="7" t="s">
        <v>77</v>
      </c>
      <c r="E73" s="7"/>
    </row>
    <row r="74" spans="1:5" ht="15" customHeight="1" x14ac:dyDescent="0.25">
      <c r="A74" s="7">
        <v>7</v>
      </c>
      <c r="B74" s="7" t="s">
        <v>14</v>
      </c>
      <c r="C74" s="7" t="s">
        <v>77</v>
      </c>
      <c r="D74" s="7" t="s">
        <v>77</v>
      </c>
      <c r="E74" s="7"/>
    </row>
    <row r="75" spans="1:5" ht="15" customHeight="1" x14ac:dyDescent="0.25">
      <c r="A75" s="7">
        <v>7</v>
      </c>
      <c r="B75" s="7" t="s">
        <v>41</v>
      </c>
      <c r="C75" s="7" t="s">
        <v>77</v>
      </c>
      <c r="D75" s="7" t="s">
        <v>77</v>
      </c>
      <c r="E75" s="7"/>
    </row>
    <row r="76" spans="1:5" ht="15" customHeight="1" x14ac:dyDescent="0.25">
      <c r="A76" s="7">
        <v>7</v>
      </c>
      <c r="B76" s="7" t="s">
        <v>39</v>
      </c>
      <c r="C76" s="7" t="s">
        <v>77</v>
      </c>
      <c r="D76" s="7" t="s">
        <v>102</v>
      </c>
      <c r="E76" s="7"/>
    </row>
    <row r="77" spans="1:5" ht="15" customHeight="1" x14ac:dyDescent="0.25">
      <c r="A77" s="7">
        <v>7</v>
      </c>
      <c r="B77" s="7" t="s">
        <v>31</v>
      </c>
      <c r="C77" s="7" t="s">
        <v>77</v>
      </c>
      <c r="D77" s="7" t="s">
        <v>77</v>
      </c>
      <c r="E77" s="7"/>
    </row>
    <row r="78" spans="1:5" ht="15" customHeight="1" x14ac:dyDescent="0.25">
      <c r="A78" s="7">
        <v>7</v>
      </c>
      <c r="B78" s="7" t="s">
        <v>46</v>
      </c>
      <c r="C78" s="7" t="s">
        <v>77</v>
      </c>
      <c r="D78" s="7" t="s">
        <v>77</v>
      </c>
      <c r="E78" s="7"/>
    </row>
    <row r="79" spans="1:5" ht="15" customHeight="1" x14ac:dyDescent="0.25">
      <c r="A79" s="7">
        <v>7</v>
      </c>
      <c r="B79" s="7" t="s">
        <v>49</v>
      </c>
      <c r="C79" s="7" t="s">
        <v>77</v>
      </c>
      <c r="D79" s="7" t="s">
        <v>102</v>
      </c>
      <c r="E79" s="7"/>
    </row>
    <row r="80" spans="1:5" ht="15" customHeight="1" x14ac:dyDescent="0.25">
      <c r="A80" s="7">
        <v>7</v>
      </c>
      <c r="B80" s="7" t="s">
        <v>17</v>
      </c>
      <c r="C80" s="7" t="s">
        <v>77</v>
      </c>
      <c r="D80" s="7" t="s">
        <v>102</v>
      </c>
      <c r="E80" s="7"/>
    </row>
    <row r="81" spans="1:5" ht="15" customHeight="1" x14ac:dyDescent="0.25">
      <c r="A81" s="7">
        <v>7</v>
      </c>
      <c r="B81" s="7" t="s">
        <v>28</v>
      </c>
      <c r="C81" s="7" t="s">
        <v>77</v>
      </c>
      <c r="D81" s="7" t="s">
        <v>77</v>
      </c>
      <c r="E81" s="7"/>
    </row>
    <row r="82" spans="1:5" ht="15" customHeight="1" x14ac:dyDescent="0.25">
      <c r="A82" s="7">
        <v>7</v>
      </c>
      <c r="B82" s="7" t="s">
        <v>37</v>
      </c>
      <c r="C82" s="7" t="s">
        <v>77</v>
      </c>
      <c r="D82" s="7" t="s">
        <v>77</v>
      </c>
      <c r="E82" s="7"/>
    </row>
    <row r="83" spans="1:5" ht="15" customHeight="1" x14ac:dyDescent="0.25">
      <c r="A83" s="7">
        <v>7</v>
      </c>
      <c r="B83" s="7" t="s">
        <v>23</v>
      </c>
      <c r="C83" s="7" t="s">
        <v>77</v>
      </c>
      <c r="D83" s="7" t="s">
        <v>77</v>
      </c>
      <c r="E83" s="7"/>
    </row>
    <row r="84" spans="1:5" ht="15" customHeight="1" x14ac:dyDescent="0.25">
      <c r="A84" s="7">
        <v>7</v>
      </c>
      <c r="B84" s="7" t="s">
        <v>30</v>
      </c>
      <c r="C84" s="7" t="s">
        <v>77</v>
      </c>
      <c r="D84" s="7" t="s">
        <v>77</v>
      </c>
      <c r="E84" s="7"/>
    </row>
    <row r="85" spans="1:5" ht="15" customHeight="1" x14ac:dyDescent="0.25">
      <c r="A85" s="7">
        <v>7</v>
      </c>
      <c r="B85" s="7" t="s">
        <v>20</v>
      </c>
      <c r="C85" s="7" t="s">
        <v>77</v>
      </c>
      <c r="D85" s="7" t="s">
        <v>77</v>
      </c>
      <c r="E85" s="7"/>
    </row>
    <row r="86" spans="1:5" ht="15" customHeight="1" x14ac:dyDescent="0.25">
      <c r="A86" s="7">
        <v>7</v>
      </c>
      <c r="B86" s="7" t="s">
        <v>32</v>
      </c>
      <c r="C86" s="7" t="s">
        <v>77</v>
      </c>
      <c r="D86" s="7" t="s">
        <v>77</v>
      </c>
      <c r="E86" s="7"/>
    </row>
    <row r="87" spans="1:5" ht="15" customHeight="1" x14ac:dyDescent="0.25">
      <c r="A87" s="7">
        <v>6</v>
      </c>
      <c r="B87" s="7" t="s">
        <v>48</v>
      </c>
      <c r="C87" s="7" t="s">
        <v>77</v>
      </c>
      <c r="D87" s="7" t="s">
        <v>77</v>
      </c>
      <c r="E87" s="7"/>
    </row>
    <row r="88" spans="1:5" ht="15" customHeight="1" x14ac:dyDescent="0.25">
      <c r="A88" s="7">
        <v>6</v>
      </c>
      <c r="B88" s="7" t="s">
        <v>44</v>
      </c>
      <c r="C88" s="7" t="s">
        <v>77</v>
      </c>
      <c r="D88" s="7" t="s">
        <v>102</v>
      </c>
      <c r="E88" s="7"/>
    </row>
    <row r="89" spans="1:5" ht="15" customHeight="1" x14ac:dyDescent="0.25">
      <c r="A89" s="7">
        <v>6</v>
      </c>
      <c r="B89" s="7" t="s">
        <v>35</v>
      </c>
      <c r="C89" s="7" t="s">
        <v>77</v>
      </c>
      <c r="D89" s="7" t="s">
        <v>77</v>
      </c>
      <c r="E89" s="7"/>
    </row>
    <row r="90" spans="1:5" ht="15" customHeight="1" x14ac:dyDescent="0.25">
      <c r="A90" s="7">
        <v>6</v>
      </c>
      <c r="B90" s="7" t="s">
        <v>33</v>
      </c>
      <c r="C90" s="7" t="s">
        <v>77</v>
      </c>
      <c r="D90" s="7" t="s">
        <v>102</v>
      </c>
      <c r="E90" s="7"/>
    </row>
    <row r="91" spans="1:5" ht="15" customHeight="1" x14ac:dyDescent="0.25">
      <c r="A91" s="7">
        <v>6</v>
      </c>
      <c r="B91" s="7" t="s">
        <v>19</v>
      </c>
      <c r="C91" s="7" t="s">
        <v>77</v>
      </c>
      <c r="D91" s="7" t="s">
        <v>102</v>
      </c>
      <c r="E91" s="7"/>
    </row>
    <row r="92" spans="1:5" ht="15" customHeight="1" x14ac:dyDescent="0.25">
      <c r="A92" s="7">
        <v>6</v>
      </c>
      <c r="B92" s="7" t="s">
        <v>38</v>
      </c>
      <c r="C92" s="7" t="s">
        <v>77</v>
      </c>
      <c r="D92" s="7" t="s">
        <v>77</v>
      </c>
      <c r="E92" s="7"/>
    </row>
    <row r="93" spans="1:5" ht="15" customHeight="1" x14ac:dyDescent="0.25">
      <c r="A93" s="7">
        <v>6</v>
      </c>
      <c r="B93" s="7" t="s">
        <v>40</v>
      </c>
      <c r="C93" s="7" t="s">
        <v>77</v>
      </c>
      <c r="D93" s="7" t="s">
        <v>77</v>
      </c>
      <c r="E93" s="7"/>
    </row>
    <row r="94" spans="1:5" ht="15" customHeight="1" x14ac:dyDescent="0.25">
      <c r="A94" s="7">
        <v>6</v>
      </c>
      <c r="B94" s="7" t="s">
        <v>18</v>
      </c>
      <c r="C94" s="7" t="s">
        <v>77</v>
      </c>
      <c r="D94" s="7" t="s">
        <v>77</v>
      </c>
      <c r="E94" s="7"/>
    </row>
    <row r="95" spans="1:5" ht="15" customHeight="1" x14ac:dyDescent="0.25">
      <c r="A95" s="7">
        <v>6</v>
      </c>
      <c r="B95" s="7" t="s">
        <v>36</v>
      </c>
      <c r="C95" s="7" t="s">
        <v>77</v>
      </c>
      <c r="D95" s="7" t="s">
        <v>77</v>
      </c>
      <c r="E95" s="7"/>
    </row>
    <row r="96" spans="1:5" ht="15" customHeight="1" x14ac:dyDescent="0.25">
      <c r="A96" s="7">
        <v>6</v>
      </c>
      <c r="B96" s="7" t="s">
        <v>25</v>
      </c>
      <c r="C96" s="7" t="s">
        <v>77</v>
      </c>
      <c r="D96" s="7" t="s">
        <v>77</v>
      </c>
      <c r="E96" s="7"/>
    </row>
    <row r="97" spans="1:5" ht="15" customHeight="1" x14ac:dyDescent="0.25">
      <c r="A97" s="7">
        <v>6</v>
      </c>
      <c r="B97" s="7" t="s">
        <v>16</v>
      </c>
      <c r="C97" s="7" t="s">
        <v>77</v>
      </c>
      <c r="D97" s="7" t="s">
        <v>77</v>
      </c>
      <c r="E97" s="7"/>
    </row>
    <row r="98" spans="1:5" ht="15" customHeight="1" x14ac:dyDescent="0.25">
      <c r="A98" s="7">
        <v>6</v>
      </c>
      <c r="B98" s="7" t="s">
        <v>27</v>
      </c>
      <c r="C98" s="7" t="s">
        <v>77</v>
      </c>
      <c r="D98" s="7" t="s">
        <v>77</v>
      </c>
      <c r="E98" s="7"/>
    </row>
    <row r="99" spans="1:5" ht="15" customHeight="1" x14ac:dyDescent="0.25">
      <c r="A99" s="7">
        <v>6</v>
      </c>
      <c r="B99" s="7" t="s">
        <v>26</v>
      </c>
      <c r="C99" s="7" t="s">
        <v>77</v>
      </c>
      <c r="D99" s="7" t="s">
        <v>77</v>
      </c>
      <c r="E99" s="7"/>
    </row>
    <row r="100" spans="1:5" ht="15" customHeight="1" x14ac:dyDescent="0.25">
      <c r="A100" s="7">
        <v>6</v>
      </c>
      <c r="B100" s="7" t="s">
        <v>15</v>
      </c>
      <c r="C100" s="7" t="s">
        <v>77</v>
      </c>
      <c r="D100" s="7" t="s">
        <v>77</v>
      </c>
      <c r="E100" s="7"/>
    </row>
    <row r="101" spans="1:5" ht="15" customHeight="1" x14ac:dyDescent="0.25">
      <c r="A101" s="7">
        <v>8</v>
      </c>
      <c r="B101" s="7" t="s">
        <v>17</v>
      </c>
      <c r="C101" s="7" t="s">
        <v>77</v>
      </c>
      <c r="D101" s="7" t="s">
        <v>77</v>
      </c>
      <c r="E101" s="7"/>
    </row>
    <row r="102" spans="1:5" ht="15" customHeight="1" x14ac:dyDescent="0.25">
      <c r="A102" s="7">
        <v>8</v>
      </c>
      <c r="B102" s="7" t="s">
        <v>20</v>
      </c>
      <c r="C102" s="7" t="s">
        <v>77</v>
      </c>
      <c r="D102" s="7" t="s">
        <v>77</v>
      </c>
      <c r="E102" s="7"/>
    </row>
    <row r="103" spans="1:5" ht="15" customHeight="1" x14ac:dyDescent="0.25">
      <c r="A103" s="7">
        <v>8</v>
      </c>
      <c r="B103" s="7" t="s">
        <v>23</v>
      </c>
      <c r="C103" s="7" t="s">
        <v>77</v>
      </c>
      <c r="D103" s="7" t="s">
        <v>77</v>
      </c>
      <c r="E103" s="7"/>
    </row>
    <row r="104" spans="1:5" ht="15" customHeight="1" x14ac:dyDescent="0.25">
      <c r="A104" s="7">
        <v>8</v>
      </c>
      <c r="B104" s="7" t="s">
        <v>24</v>
      </c>
      <c r="C104" s="7" t="s">
        <v>77</v>
      </c>
      <c r="D104" s="7" t="s">
        <v>77</v>
      </c>
      <c r="E104" s="7"/>
    </row>
    <row r="105" spans="1:5" ht="15" customHeight="1" x14ac:dyDescent="0.25">
      <c r="A105" s="7">
        <v>8</v>
      </c>
      <c r="B105" s="7" t="s">
        <v>29</v>
      </c>
      <c r="C105" s="7" t="s">
        <v>77</v>
      </c>
      <c r="D105" s="7" t="s">
        <v>77</v>
      </c>
      <c r="E105" s="7"/>
    </row>
    <row r="106" spans="1:5" ht="15" customHeight="1" x14ac:dyDescent="0.25">
      <c r="A106" s="7">
        <v>8</v>
      </c>
      <c r="B106" s="7" t="s">
        <v>30</v>
      </c>
      <c r="C106" s="7" t="s">
        <v>77</v>
      </c>
      <c r="D106" s="7" t="s">
        <v>77</v>
      </c>
      <c r="E106" s="7"/>
    </row>
    <row r="107" spans="1:5" ht="15" customHeight="1" x14ac:dyDescent="0.25">
      <c r="A107" s="7">
        <v>8</v>
      </c>
      <c r="B107" s="7" t="s">
        <v>31</v>
      </c>
      <c r="C107" s="7" t="s">
        <v>77</v>
      </c>
      <c r="D107" s="7" t="s">
        <v>77</v>
      </c>
      <c r="E107" s="7"/>
    </row>
    <row r="108" spans="1:5" ht="15" customHeight="1" x14ac:dyDescent="0.25">
      <c r="A108" s="7">
        <v>8</v>
      </c>
      <c r="B108" s="7" t="s">
        <v>32</v>
      </c>
      <c r="C108" s="7" t="s">
        <v>77</v>
      </c>
      <c r="D108" s="7" t="s">
        <v>77</v>
      </c>
      <c r="E108" s="7"/>
    </row>
    <row r="109" spans="1:5" ht="15" customHeight="1" x14ac:dyDescent="0.25">
      <c r="A109" s="7">
        <v>8</v>
      </c>
      <c r="B109" s="7" t="s">
        <v>41</v>
      </c>
      <c r="C109" s="7" t="s">
        <v>77</v>
      </c>
      <c r="D109" s="7" t="s">
        <v>77</v>
      </c>
      <c r="E109" s="7"/>
    </row>
    <row r="110" spans="1:5" ht="15" customHeight="1" x14ac:dyDescent="0.25">
      <c r="A110" s="7">
        <v>8</v>
      </c>
      <c r="B110" s="7" t="s">
        <v>42</v>
      </c>
      <c r="C110" s="7" t="s">
        <v>77</v>
      </c>
      <c r="D110" s="7" t="s">
        <v>77</v>
      </c>
      <c r="E110" s="7"/>
    </row>
    <row r="111" spans="1:5" ht="15" customHeight="1" x14ac:dyDescent="0.25">
      <c r="A111" s="7">
        <v>8</v>
      </c>
      <c r="B111" s="7" t="s">
        <v>43</v>
      </c>
      <c r="C111" s="7" t="s">
        <v>77</v>
      </c>
      <c r="D111" s="7" t="s">
        <v>102</v>
      </c>
      <c r="E111" s="7"/>
    </row>
    <row r="112" spans="1:5" ht="15" customHeight="1" x14ac:dyDescent="0.25">
      <c r="A112" s="7">
        <v>8</v>
      </c>
      <c r="B112" s="7" t="s">
        <v>46</v>
      </c>
      <c r="C112" s="7" t="s">
        <v>77</v>
      </c>
      <c r="D112" s="7" t="s">
        <v>77</v>
      </c>
      <c r="E112" s="7"/>
    </row>
    <row r="113" spans="1:5" ht="15" customHeight="1" x14ac:dyDescent="0.25">
      <c r="A113" s="7">
        <v>8</v>
      </c>
      <c r="B113" s="7" t="s">
        <v>47</v>
      </c>
      <c r="C113" s="7" t="s">
        <v>77</v>
      </c>
      <c r="D113" s="7" t="s">
        <v>102</v>
      </c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0000000}">
      <formula1>"Oui,Non"</formula1>
      <formula2>0</formula2>
    </dataValidation>
    <dataValidation type="list" allowBlank="1" sqref="E5:E904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tabSelected="1" zoomScaleNormal="100" workbookViewId="0">
      <selection activeCell="K21" sqref="K21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>
        <v>7</v>
      </c>
      <c r="B5" s="7" t="s">
        <v>42</v>
      </c>
      <c r="C5" s="7"/>
      <c r="D5" s="7" t="s">
        <v>105</v>
      </c>
      <c r="E5" s="7"/>
    </row>
    <row r="6" spans="1:5" ht="15" customHeight="1" x14ac:dyDescent="0.25">
      <c r="A6" s="7">
        <v>7</v>
      </c>
      <c r="B6" s="7" t="s">
        <v>32</v>
      </c>
      <c r="C6" s="7"/>
      <c r="D6" s="7" t="s">
        <v>105</v>
      </c>
      <c r="E6" s="7"/>
    </row>
    <row r="7" spans="1:5" ht="15" customHeight="1" x14ac:dyDescent="0.25">
      <c r="A7" s="7">
        <v>1</v>
      </c>
      <c r="B7" s="7" t="s">
        <v>26</v>
      </c>
      <c r="C7" s="7"/>
      <c r="D7" s="7" t="s">
        <v>105</v>
      </c>
      <c r="E7" s="7"/>
    </row>
    <row r="8" spans="1:5" ht="15" customHeight="1" x14ac:dyDescent="0.25">
      <c r="A8" s="7">
        <v>1</v>
      </c>
      <c r="B8" s="7" t="s">
        <v>26</v>
      </c>
      <c r="C8" s="7"/>
      <c r="D8" s="7" t="s">
        <v>105</v>
      </c>
      <c r="E8" s="7"/>
    </row>
    <row r="9" spans="1:5" ht="15" customHeight="1" x14ac:dyDescent="0.25">
      <c r="A9" s="7">
        <v>1</v>
      </c>
      <c r="B9" s="7" t="s">
        <v>26</v>
      </c>
      <c r="C9" s="7"/>
      <c r="D9" s="7" t="s">
        <v>105</v>
      </c>
      <c r="E9" s="7"/>
    </row>
    <row r="10" spans="1:5" ht="15" customHeight="1" x14ac:dyDescent="0.25">
      <c r="A10" s="7">
        <v>1</v>
      </c>
      <c r="B10" s="7" t="s">
        <v>40</v>
      </c>
      <c r="C10" s="7"/>
      <c r="D10" s="7" t="s">
        <v>105</v>
      </c>
      <c r="E10" s="7"/>
    </row>
    <row r="11" spans="1:5" ht="15" customHeight="1" x14ac:dyDescent="0.25">
      <c r="A11" s="7">
        <v>1</v>
      </c>
      <c r="B11" s="7" t="s">
        <v>40</v>
      </c>
      <c r="C11" s="7"/>
      <c r="D11" s="7" t="s">
        <v>105</v>
      </c>
      <c r="E11" s="7"/>
    </row>
    <row r="12" spans="1:5" ht="15" customHeight="1" x14ac:dyDescent="0.25">
      <c r="A12" s="7">
        <v>1</v>
      </c>
      <c r="B12" s="7" t="s">
        <v>40</v>
      </c>
      <c r="C12" s="7"/>
      <c r="D12" s="7" t="s">
        <v>105</v>
      </c>
      <c r="E12" s="7"/>
    </row>
    <row r="13" spans="1:5" ht="15" customHeight="1" x14ac:dyDescent="0.25">
      <c r="A13" s="7">
        <v>1</v>
      </c>
      <c r="B13" s="7" t="s">
        <v>15</v>
      </c>
      <c r="C13" s="7"/>
      <c r="D13" s="7" t="s">
        <v>105</v>
      </c>
      <c r="E13" s="7"/>
    </row>
    <row r="14" spans="1:5" ht="15" customHeight="1" x14ac:dyDescent="0.25">
      <c r="A14" s="7">
        <v>1</v>
      </c>
      <c r="B14" s="7" t="s">
        <v>15</v>
      </c>
      <c r="C14" s="7"/>
      <c r="D14" s="7" t="s">
        <v>105</v>
      </c>
      <c r="E14" s="7"/>
    </row>
    <row r="15" spans="1:5" ht="15" customHeight="1" x14ac:dyDescent="0.25">
      <c r="A15" s="7">
        <v>1</v>
      </c>
      <c r="B15" s="7" t="s">
        <v>15</v>
      </c>
      <c r="C15" s="7"/>
      <c r="D15" s="7" t="s">
        <v>105</v>
      </c>
      <c r="E15" s="7"/>
    </row>
    <row r="16" spans="1:5" ht="15" customHeight="1" x14ac:dyDescent="0.25">
      <c r="A16" s="7">
        <v>1</v>
      </c>
      <c r="B16" s="7" t="s">
        <v>15</v>
      </c>
      <c r="C16" s="7"/>
      <c r="D16" s="7" t="s">
        <v>105</v>
      </c>
      <c r="E16" s="7"/>
    </row>
    <row r="17" spans="1:5" ht="15" customHeight="1" x14ac:dyDescent="0.25">
      <c r="A17" s="7">
        <v>1</v>
      </c>
      <c r="B17" s="7" t="s">
        <v>16</v>
      </c>
      <c r="C17" s="7"/>
      <c r="D17" s="7" t="s">
        <v>105</v>
      </c>
      <c r="E17" s="7"/>
    </row>
    <row r="18" spans="1:5" ht="15" customHeight="1" x14ac:dyDescent="0.25">
      <c r="A18" s="7">
        <v>1</v>
      </c>
      <c r="B18" s="7" t="s">
        <v>16</v>
      </c>
      <c r="C18" s="7"/>
      <c r="D18" s="7" t="s">
        <v>105</v>
      </c>
      <c r="E18" s="7"/>
    </row>
    <row r="19" spans="1:5" ht="15" customHeight="1" x14ac:dyDescent="0.25">
      <c r="A19" s="7">
        <v>1</v>
      </c>
      <c r="B19" s="7" t="s">
        <v>38</v>
      </c>
      <c r="C19" s="7"/>
      <c r="D19" s="7" t="s">
        <v>105</v>
      </c>
      <c r="E19" s="7"/>
    </row>
    <row r="20" spans="1:5" ht="15" customHeight="1" x14ac:dyDescent="0.25">
      <c r="A20" s="7">
        <v>1</v>
      </c>
      <c r="B20" s="7" t="s">
        <v>18</v>
      </c>
      <c r="C20" s="7"/>
      <c r="D20" s="7" t="s">
        <v>105</v>
      </c>
      <c r="E20" s="7"/>
    </row>
    <row r="21" spans="1:5" ht="15" customHeight="1" x14ac:dyDescent="0.25">
      <c r="A21" s="7">
        <v>1</v>
      </c>
      <c r="B21" s="7" t="s">
        <v>48</v>
      </c>
      <c r="C21" s="7"/>
      <c r="D21" s="7" t="s">
        <v>105</v>
      </c>
      <c r="E21" s="7"/>
    </row>
    <row r="22" spans="1:5" ht="15" customHeight="1" x14ac:dyDescent="0.25">
      <c r="A22" s="7">
        <v>1</v>
      </c>
      <c r="B22" s="7" t="s">
        <v>42</v>
      </c>
      <c r="C22" s="7"/>
      <c r="D22" s="7" t="s">
        <v>105</v>
      </c>
      <c r="E22" s="7"/>
    </row>
    <row r="23" spans="1:5" ht="15" customHeight="1" x14ac:dyDescent="0.25">
      <c r="A23" s="7">
        <v>1</v>
      </c>
      <c r="B23" s="7" t="s">
        <v>32</v>
      </c>
      <c r="C23" s="7"/>
      <c r="D23" s="7" t="s">
        <v>105</v>
      </c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0000000}">
      <formula1>"Nous,Adv"</formula1>
      <formula2>0</formula2>
    </dataValidation>
    <dataValidation type="list" allowBlank="1" sqref="E5:E204" xr:uid="{00000000-0002-0000-0400-000001000000}">
      <formula1>"Jeu,Tête,Penalty,CF,Corner,CSC"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1</v>
      </c>
      <c r="C5" s="5">
        <f>COUNTIFS(Convocations!$B:$B,A5,Convocations!$D:$D,"Oui")</f>
        <v>1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2</v>
      </c>
      <c r="C6" s="5">
        <f>COUNTIFS(Convocations!$B:$B,A6,Convocations!$D:$D,"Oui")</f>
        <v>1</v>
      </c>
      <c r="D6" s="5">
        <f>COUNTIF(Buts!$B:$B,A6)</f>
        <v>4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4</v>
      </c>
      <c r="C7" s="5">
        <f>COUNTIFS(Convocations!$B:$B,A7,Convocations!$D:$D,"Oui")</f>
        <v>1</v>
      </c>
      <c r="D7" s="5">
        <f>COUNTIF(Buts!$B:$B,A7)</f>
        <v>2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4</v>
      </c>
      <c r="C8" s="5">
        <f>COUNTIFS(Convocations!$B:$B,A8,Convocations!$D:$D,"Oui")</f>
        <v>3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4</v>
      </c>
      <c r="C9" s="5">
        <f>COUNTIFS(Convocations!$B:$B,A9,Convocations!$D:$D,"Oui")</f>
        <v>1</v>
      </c>
      <c r="D9" s="5">
        <f>COUNTIF(Buts!$B:$B,A9)</f>
        <v>1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4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3</v>
      </c>
      <c r="C11" s="5">
        <f>COUNTIFS(Convocations!$B:$B,A11,Convocations!$D:$D,"Oui")</f>
        <v>3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1</v>
      </c>
      <c r="C12" s="5">
        <f>COUNTIFS(Convocations!$B:$B,A12,Convocations!$D:$D,"Oui")</f>
        <v>1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4</v>
      </c>
      <c r="C14" s="5">
        <f>COUNTIFS(Convocations!$B:$B,A14,Convocations!$D:$D,"Oui")</f>
        <v>4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2</v>
      </c>
      <c r="C15" s="5">
        <f>COUNTIFS(Convocations!$B:$B,A15,Convocations!$D:$D,"Oui")</f>
        <v>2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4</v>
      </c>
      <c r="C16" s="5">
        <f>COUNTIFS(Convocations!$B:$B,A16,Convocations!$D:$D,"Oui")</f>
        <v>1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4</v>
      </c>
      <c r="C17" s="5">
        <f>COUNTIFS(Convocations!$B:$B,A17,Convocations!$D:$D,"Oui")</f>
        <v>1</v>
      </c>
      <c r="D17" s="5">
        <f>COUNTIF(Buts!$B:$B,A17)</f>
        <v>3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4</v>
      </c>
      <c r="C18" s="5">
        <f>COUNTIFS(Convocations!$B:$B,A18,Convocations!$D:$D,"Oui")</f>
        <v>3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3</v>
      </c>
      <c r="C19" s="5">
        <f>COUNTIFS(Convocations!$B:$B,A19,Convocations!$D:$D,"Oui")</f>
        <v>2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2</v>
      </c>
      <c r="C20" s="5">
        <f>COUNTIFS(Convocations!$B:$B,A20,Convocations!$D:$D,"Oui")</f>
        <v>2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4</v>
      </c>
      <c r="C21" s="5">
        <f>COUNTIFS(Convocations!$B:$B,A21,Convocations!$D:$D,"Oui")</f>
        <v>4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4</v>
      </c>
      <c r="C22" s="5">
        <f>COUNTIFS(Convocations!$B:$B,A22,Convocations!$D:$D,"Oui")</f>
        <v>2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5</v>
      </c>
      <c r="C23" s="5">
        <f>COUNTIFS(Convocations!$B:$B,A23,Convocations!$D:$D,"Oui")</f>
        <v>3</v>
      </c>
      <c r="D23" s="5">
        <f>COUNTIF(Buts!$B:$B,A23)</f>
        <v>2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3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3</v>
      </c>
      <c r="C26" s="5">
        <f>COUNTIFS(Convocations!$B:$B,A26,Convocations!$D:$D,"Oui")</f>
        <v>1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2</v>
      </c>
      <c r="C27" s="5">
        <f>COUNTIFS(Convocations!$B:$B,A27,Convocations!$D:$D,"Oui")</f>
        <v>1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4</v>
      </c>
      <c r="C28" s="5">
        <f>COUNTIFS(Convocations!$B:$B,A28,Convocations!$D:$D,"Oui")</f>
        <v>1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4</v>
      </c>
      <c r="C29" s="5">
        <f>COUNTIFS(Convocations!$B:$B,A29,Convocations!$D:$D,"Oui")</f>
        <v>1</v>
      </c>
      <c r="D29" s="5">
        <f>COUNTIF(Buts!$B:$B,A29)</f>
        <v>1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3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4</v>
      </c>
      <c r="C31" s="5">
        <f>COUNTIFS(Convocations!$B:$B,A31,Convocations!$D:$D,"Oui")</f>
        <v>1</v>
      </c>
      <c r="D31" s="5">
        <f>COUNTIF(Buts!$B:$B,A31)</f>
        <v>3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4</v>
      </c>
      <c r="C32" s="5">
        <f>COUNTIFS(Convocations!$B:$B,A32,Convocations!$D:$D,"Oui")</f>
        <v>4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5</v>
      </c>
      <c r="C33" s="5">
        <f>COUNTIFS(Convocations!$B:$B,A33,Convocations!$D:$D,"Oui")</f>
        <v>3</v>
      </c>
      <c r="D33" s="5">
        <f>COUNTIF(Buts!$B:$B,A33)</f>
        <v>2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2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3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4</v>
      </c>
      <c r="C37" s="5">
        <f>COUNTIFS(Convocations!$B:$B,A37,Convocations!$D:$D,"Oui")</f>
        <v>4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2</v>
      </c>
      <c r="C38" s="5">
        <f>COUNTIFS(Convocations!$B:$B,A38,Convocations!$D:$D,"Oui")</f>
        <v>1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4</v>
      </c>
      <c r="C39" s="5">
        <f>COUNTIFS(Convocations!$B:$B,A39,Convocations!$D:$D,"Oui")</f>
        <v>1</v>
      </c>
      <c r="D39" s="5">
        <f>COUNTIF(Buts!$B:$B,A39)</f>
        <v>1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3</v>
      </c>
      <c r="C40" s="5">
        <f>COUNTIFS(Convocations!$B:$B,A40,Convocations!$D:$D,"Oui")</f>
        <v>1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2026-10-03T20:21:28Z</dcterms:modified>
  <dc:language>en-US</dc:language>
</cp:coreProperties>
</file>