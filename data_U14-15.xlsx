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64D524F5-5E27-4F10-BE47-FD9E422FFC0A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A40" i="8"/>
  <c r="G40" i="8" s="1"/>
  <c r="A39" i="8"/>
  <c r="G39" i="8" s="1"/>
  <c r="A38" i="8"/>
  <c r="D38" i="8" s="1"/>
  <c r="A37" i="8"/>
  <c r="G37" i="8" s="1"/>
  <c r="A36" i="8"/>
  <c r="E36" i="8" s="1"/>
  <c r="A35" i="8"/>
  <c r="G35" i="8" s="1"/>
  <c r="A34" i="8"/>
  <c r="G34" i="8" s="1"/>
  <c r="A33" i="8"/>
  <c r="B33" i="8" s="1"/>
  <c r="A32" i="8"/>
  <c r="G32" i="8" s="1"/>
  <c r="G31" i="8"/>
  <c r="A31" i="8"/>
  <c r="E31" i="8" s="1"/>
  <c r="A30" i="8"/>
  <c r="G30" i="8" s="1"/>
  <c r="A29" i="8"/>
  <c r="F29" i="8" s="1"/>
  <c r="B28" i="8"/>
  <c r="A28" i="8"/>
  <c r="G28" i="8" s="1"/>
  <c r="A27" i="8"/>
  <c r="G27" i="8" s="1"/>
  <c r="G26" i="8"/>
  <c r="F26" i="8"/>
  <c r="E26" i="8"/>
  <c r="D26" i="8"/>
  <c r="A26" i="8"/>
  <c r="C26" i="8" s="1"/>
  <c r="A25" i="8"/>
  <c r="G25" i="8" s="1"/>
  <c r="A24" i="8"/>
  <c r="E24" i="8" s="1"/>
  <c r="A23" i="8"/>
  <c r="G23" i="8" s="1"/>
  <c r="A22" i="8"/>
  <c r="G22" i="8" s="1"/>
  <c r="E21" i="8"/>
  <c r="D21" i="8"/>
  <c r="C21" i="8"/>
  <c r="A21" i="8"/>
  <c r="G21" i="8" s="1"/>
  <c r="A20" i="8"/>
  <c r="G20" i="8" s="1"/>
  <c r="E19" i="8"/>
  <c r="A19" i="8"/>
  <c r="D19" i="8" s="1"/>
  <c r="A18" i="8"/>
  <c r="G18" i="8" s="1"/>
  <c r="A17" i="8"/>
  <c r="E17" i="8" s="1"/>
  <c r="A16" i="8"/>
  <c r="G16" i="8" s="1"/>
  <c r="A15" i="8"/>
  <c r="G15" i="8" s="1"/>
  <c r="F14" i="8"/>
  <c r="E14" i="8"/>
  <c r="D14" i="8"/>
  <c r="C14" i="8"/>
  <c r="A14" i="8"/>
  <c r="B14" i="8" s="1"/>
  <c r="A13" i="8"/>
  <c r="G13" i="8" s="1"/>
  <c r="G12" i="8"/>
  <c r="A12" i="8"/>
  <c r="E12" i="8" s="1"/>
  <c r="A11" i="8"/>
  <c r="B11" i="8" s="1"/>
  <c r="A10" i="8"/>
  <c r="F10" i="8" s="1"/>
  <c r="G9" i="8"/>
  <c r="F9" i="8"/>
  <c r="E9" i="8"/>
  <c r="D9" i="8"/>
  <c r="A9" i="8"/>
  <c r="B9" i="8" s="1"/>
  <c r="A8" i="8"/>
  <c r="G8" i="8" s="1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A6" i="3"/>
  <c r="I6" i="3" s="1"/>
  <c r="A5" i="3"/>
  <c r="J5" i="3" s="1"/>
  <c r="B35" i="8" l="1"/>
  <c r="C35" i="8"/>
  <c r="G10" i="8"/>
  <c r="D35" i="8"/>
  <c r="G17" i="8"/>
  <c r="J14" i="3"/>
  <c r="F19" i="8"/>
  <c r="C28" i="8"/>
  <c r="F35" i="8"/>
  <c r="F17" i="8"/>
  <c r="E35" i="8"/>
  <c r="J38" i="3"/>
  <c r="F12" i="8"/>
  <c r="G19" i="8"/>
  <c r="D28" i="8"/>
  <c r="E28" i="8"/>
  <c r="J62" i="3"/>
  <c r="F28" i="8"/>
  <c r="F36" i="8"/>
  <c r="B21" i="8"/>
  <c r="G36" i="8"/>
  <c r="G29" i="8"/>
  <c r="E38" i="8"/>
  <c r="F21" i="8"/>
  <c r="F38" i="8"/>
  <c r="J46" i="3"/>
  <c r="G14" i="8"/>
  <c r="F31" i="8"/>
  <c r="G38" i="8"/>
  <c r="B16" i="8"/>
  <c r="B40" i="8"/>
  <c r="G7" i="8"/>
  <c r="C16" i="8"/>
  <c r="F24" i="8"/>
  <c r="C33" i="8"/>
  <c r="C40" i="8"/>
  <c r="J22" i="3"/>
  <c r="D16" i="8"/>
  <c r="G24" i="8"/>
  <c r="D33" i="8"/>
  <c r="D40" i="8"/>
  <c r="E33" i="8"/>
  <c r="E40" i="8"/>
  <c r="J6" i="3"/>
  <c r="J30" i="3"/>
  <c r="E16" i="8"/>
  <c r="C9" i="8"/>
  <c r="F16" i="8"/>
  <c r="F33" i="8"/>
  <c r="F40" i="8"/>
  <c r="G33" i="8"/>
  <c r="J7" i="3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<sst xmlns="http://schemas.openxmlformats.org/spreadsheetml/2006/main" count="376" uniqueCount="106">
  <si>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</si>
  <si>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</si>
  <si>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</si>
  <si>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</si>
  <si>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</si>
  <si>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</si>
  <si>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</si>
  <si>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</si>
  <si>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</si>
  <si>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</si>
  <si>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</si>
  <si>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</si>
  <si>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</si>
  <si>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</si>
  <si>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</si>
  <si>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</si>
  <si>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</si>
  <si>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</si>
  <si>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</si>
  <si>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</si>
  <si>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</si>
  <si>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</si>
  <si>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</si>
  <si>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</si>
  <si>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</si>
  <si>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</si>
  <si>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</si>
  <si>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</si>
  <si>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</si>
  <si>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</si>
  <si>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</si>
  <si>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</si>
  <si>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</si>
  <si>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</si>
  <si>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</si>
  <si>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</si>
  <si>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</si>
  <si>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</si>
  <si>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</si>
  <si>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</si>
  <si>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</si>
  <si>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</si>
  <si>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</si>
  <si>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</si>
  <si>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</si>
  <si>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</si>
  <si>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</si>
  <si>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</si>
  <si>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</si>
  <si>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</si>
  <si>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</si>
  <si>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</si>
  <si>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</si>
  <si>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</si>
  <si>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</si>
  <si>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</si>
  <si>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</si>
  <si>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</si>
  <si>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</si>
  <si>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</si>
  <si>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</si>
  <si>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</si>
  <si>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</si>
  <si>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</si>
  <si>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</si>
  <si>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</si>
  <si>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</si>
  <si>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</si>
  <si>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</si>
  <si>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</si>
  <si>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</si>
  <si>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</si>
  <si>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</si>
  <si>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</si>
  <si>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</si>
  <si>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</si>
  <si>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</si>
  <si>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</si>
  <si>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</si>
  <si>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</si>
  <si>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</si>
  <si>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</si>
  <si>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</si>
  <si>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</si>
  <si>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</si>
  <si>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</si>
  <si>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</si>
  <si>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</si>
  <si>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</si>
  <si>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</si>
  <si>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</si>
  <si>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</si>
  <si>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</si>
  <si>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</si>
  <si>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</si>
  <si>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</si>
  <si>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</si>
  <si>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</si>
  <si>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</si>
  <si>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</si>
  <si>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</si>
  <si>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</si>
  <si>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</si>
  <si>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</si>
  <si>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</si>
  <si>
    <t>Nous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</si>
</sst>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H11" sqref="H11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>
        <v>3</v>
      </c>
      <c r="H10" s="7">
        <v>3</v>
      </c>
      <c r="I10" s="5">
        <f>COUNTIFS(Convocations!$A:$A,A10,Convocations!$C:$C,"Oui")</f>
        <v>14</v>
      </c>
      <c r="J10" s="5">
        <f>COUNTIFS(Convocations!$A:$A,A10,Convocations!$D:$D,"Oui")</f>
        <v>11</v>
      </c>
    </row>
    <row r="11" spans="1:10" ht="15" customHeight="1" x14ac:dyDescent="0.2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/>
      <c r="H11" s="7"/>
      <c r="I11" s="5">
        <f>COUNTIFS(Convocations!$A:$A,A11,Convocations!$C:$C,"Oui")</f>
        <v>14</v>
      </c>
      <c r="J11" s="5">
        <f>COUNTIFS(Convocations!$A:$A,A11,Convocations!$D:$D,"Oui")</f>
        <v>11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64" zoomScaleNormal="100" workbookViewId="0">
      <selection activeCell="E78" sqref="E78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42</v>
      </c>
      <c r="C73" s="7" t="s">
        <v>77</v>
      </c>
      <c r="D73" s="7" t="s">
        <v>77</v>
      </c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 t="s">
        <v>77</v>
      </c>
      <c r="E74" s="7"/>
    </row>
    <row r="75" spans="1:5" ht="15" customHeight="1" x14ac:dyDescent="0.25">
      <c r="A75" s="7">
        <v>7</v>
      </c>
      <c r="B75" s="7" t="s">
        <v>41</v>
      </c>
      <c r="C75" s="7" t="s">
        <v>77</v>
      </c>
      <c r="D75" s="7" t="s">
        <v>77</v>
      </c>
      <c r="E75" s="7"/>
    </row>
    <row r="76" spans="1:5" ht="15" customHeight="1" x14ac:dyDescent="0.25">
      <c r="A76" s="7">
        <v>7</v>
      </c>
      <c r="B76" s="7" t="s">
        <v>39</v>
      </c>
      <c r="C76" s="7" t="s">
        <v>77</v>
      </c>
      <c r="D76" s="7" t="s">
        <v>102</v>
      </c>
      <c r="E76" s="7"/>
    </row>
    <row r="77" spans="1:5" ht="15" customHeight="1" x14ac:dyDescent="0.25">
      <c r="A77" s="7">
        <v>7</v>
      </c>
      <c r="B77" s="7" t="s">
        <v>31</v>
      </c>
      <c r="C77" s="7" t="s">
        <v>77</v>
      </c>
      <c r="D77" s="7" t="s">
        <v>77</v>
      </c>
      <c r="E77" s="7"/>
    </row>
    <row r="78" spans="1:5" ht="15" customHeight="1" x14ac:dyDescent="0.25">
      <c r="A78" s="7">
        <v>7</v>
      </c>
      <c r="B78" s="7" t="s">
        <v>46</v>
      </c>
      <c r="C78" s="7" t="s">
        <v>77</v>
      </c>
      <c r="D78" s="7" t="s">
        <v>77</v>
      </c>
      <c r="E78" s="7"/>
    </row>
    <row r="79" spans="1:5" ht="15" customHeight="1" x14ac:dyDescent="0.25">
      <c r="A79" s="7">
        <v>7</v>
      </c>
      <c r="B79" s="7" t="s">
        <v>49</v>
      </c>
      <c r="C79" s="7" t="s">
        <v>77</v>
      </c>
      <c r="D79" s="7" t="s">
        <v>102</v>
      </c>
      <c r="E79" s="7"/>
    </row>
    <row r="80" spans="1:5" ht="15" customHeight="1" x14ac:dyDescent="0.25">
      <c r="A80" s="7">
        <v>7</v>
      </c>
      <c r="B80" s="7" t="s">
        <v>17</v>
      </c>
      <c r="C80" s="7" t="s">
        <v>77</v>
      </c>
      <c r="D80" s="7" t="s">
        <v>102</v>
      </c>
      <c r="E80" s="7"/>
    </row>
    <row r="81" spans="1:5" ht="15" customHeight="1" x14ac:dyDescent="0.25">
      <c r="A81" s="7">
        <v>7</v>
      </c>
      <c r="B81" s="7" t="s">
        <v>28</v>
      </c>
      <c r="C81" s="7" t="s">
        <v>77</v>
      </c>
      <c r="D81" s="7" t="s">
        <v>77</v>
      </c>
      <c r="E81" s="7"/>
    </row>
    <row r="82" spans="1:5" ht="15" customHeight="1" x14ac:dyDescent="0.25">
      <c r="A82" s="7">
        <v>7</v>
      </c>
      <c r="B82" s="7" t="s">
        <v>37</v>
      </c>
      <c r="C82" s="7" t="s">
        <v>77</v>
      </c>
      <c r="D82" s="7" t="s">
        <v>77</v>
      </c>
      <c r="E82" s="7"/>
    </row>
    <row r="83" spans="1:5" ht="15" customHeight="1" x14ac:dyDescent="0.25">
      <c r="A83" s="7">
        <v>7</v>
      </c>
      <c r="B83" s="7" t="s">
        <v>23</v>
      </c>
      <c r="C83" s="7" t="s">
        <v>77</v>
      </c>
      <c r="D83" s="7" t="s">
        <v>77</v>
      </c>
      <c r="E83" s="7"/>
    </row>
    <row r="84" spans="1:5" ht="15" customHeight="1" x14ac:dyDescent="0.25">
      <c r="A84" s="7">
        <v>7</v>
      </c>
      <c r="B84" s="7" t="s">
        <v>30</v>
      </c>
      <c r="C84" s="7" t="s">
        <v>77</v>
      </c>
      <c r="D84" s="7" t="s">
        <v>77</v>
      </c>
      <c r="E84" s="7"/>
    </row>
    <row r="85" spans="1:5" ht="15" customHeight="1" x14ac:dyDescent="0.25">
      <c r="A85" s="7">
        <v>7</v>
      </c>
      <c r="B85" s="7" t="s">
        <v>20</v>
      </c>
      <c r="C85" s="7" t="s">
        <v>77</v>
      </c>
      <c r="D85" s="7" t="s">
        <v>77</v>
      </c>
      <c r="E85" s="7"/>
    </row>
    <row r="86" spans="1:5" ht="15" customHeight="1" x14ac:dyDescent="0.25">
      <c r="A86" s="7">
        <v>7</v>
      </c>
      <c r="B86" s="7" t="s">
        <v>32</v>
      </c>
      <c r="C86" s="7" t="s">
        <v>77</v>
      </c>
      <c r="D86" s="7" t="s">
        <v>77</v>
      </c>
      <c r="E86" s="7"/>
    </row>
    <row r="87" spans="1:5" ht="15" customHeight="1" x14ac:dyDescent="0.25">
      <c r="A87" s="7">
        <v>6</v>
      </c>
      <c r="B87" s="7" t="s">
        <v>48</v>
      </c>
      <c r="C87" s="7" t="s">
        <v>77</v>
      </c>
      <c r="D87" s="7" t="s">
        <v>77</v>
      </c>
      <c r="E87" s="7"/>
    </row>
    <row r="88" spans="1:5" ht="15" customHeight="1" x14ac:dyDescent="0.25">
      <c r="A88" s="7">
        <v>6</v>
      </c>
      <c r="B88" s="7" t="s">
        <v>44</v>
      </c>
      <c r="C88" s="7" t="s">
        <v>77</v>
      </c>
      <c r="D88" s="7" t="s">
        <v>102</v>
      </c>
      <c r="E88" s="7"/>
    </row>
    <row r="89" spans="1:5" ht="15" customHeight="1" x14ac:dyDescent="0.25">
      <c r="A89" s="7">
        <v>6</v>
      </c>
      <c r="B89" s="7" t="s">
        <v>35</v>
      </c>
      <c r="C89" s="7" t="s">
        <v>77</v>
      </c>
      <c r="D89" s="7" t="s">
        <v>77</v>
      </c>
      <c r="E89" s="7"/>
    </row>
    <row r="90" spans="1:5" ht="15" customHeight="1" x14ac:dyDescent="0.25">
      <c r="A90" s="7">
        <v>6</v>
      </c>
      <c r="B90" s="7" t="s">
        <v>33</v>
      </c>
      <c r="C90" s="7" t="s">
        <v>77</v>
      </c>
      <c r="D90" s="7" t="s">
        <v>102</v>
      </c>
      <c r="E90" s="7"/>
    </row>
    <row r="91" spans="1:5" ht="15" customHeight="1" x14ac:dyDescent="0.25">
      <c r="A91" s="7">
        <v>6</v>
      </c>
      <c r="B91" s="7" t="s">
        <v>19</v>
      </c>
      <c r="C91" s="7" t="s">
        <v>77</v>
      </c>
      <c r="D91" s="7" t="s">
        <v>102</v>
      </c>
      <c r="E91" s="7"/>
    </row>
    <row r="92" spans="1:5" ht="15" customHeight="1" x14ac:dyDescent="0.25">
      <c r="A92" s="7">
        <v>6</v>
      </c>
      <c r="B92" s="7" t="s">
        <v>38</v>
      </c>
      <c r="C92" s="7" t="s">
        <v>77</v>
      </c>
      <c r="D92" s="7" t="s">
        <v>77</v>
      </c>
      <c r="E92" s="7"/>
    </row>
    <row r="93" spans="1:5" ht="15" customHeight="1" x14ac:dyDescent="0.25">
      <c r="A93" s="7">
        <v>6</v>
      </c>
      <c r="B93" s="7" t="s">
        <v>40</v>
      </c>
      <c r="C93" s="7" t="s">
        <v>77</v>
      </c>
      <c r="D93" s="7" t="s">
        <v>77</v>
      </c>
      <c r="E93" s="7"/>
    </row>
    <row r="94" spans="1:5" ht="15" customHeight="1" x14ac:dyDescent="0.25">
      <c r="A94" s="7">
        <v>6</v>
      </c>
      <c r="B94" s="7" t="s">
        <v>18</v>
      </c>
      <c r="C94" s="7" t="s">
        <v>77</v>
      </c>
      <c r="D94" s="7" t="s">
        <v>77</v>
      </c>
      <c r="E94" s="7"/>
    </row>
    <row r="95" spans="1:5" ht="15" customHeight="1" x14ac:dyDescent="0.25">
      <c r="A95" s="7">
        <v>6</v>
      </c>
      <c r="B95" s="7" t="s">
        <v>36</v>
      </c>
      <c r="C95" s="7" t="s">
        <v>77</v>
      </c>
      <c r="D95" s="7" t="s">
        <v>77</v>
      </c>
      <c r="E95" s="7"/>
    </row>
    <row r="96" spans="1:5" ht="15" customHeight="1" x14ac:dyDescent="0.25">
      <c r="A96" s="7">
        <v>6</v>
      </c>
      <c r="B96" s="7" t="s">
        <v>25</v>
      </c>
      <c r="C96" s="7" t="s">
        <v>77</v>
      </c>
      <c r="D96" s="7" t="s">
        <v>77</v>
      </c>
      <c r="E96" s="7"/>
    </row>
    <row r="97" spans="1:5" ht="15" customHeight="1" x14ac:dyDescent="0.25">
      <c r="A97" s="7">
        <v>6</v>
      </c>
      <c r="B97" s="7" t="s">
        <v>16</v>
      </c>
      <c r="C97" s="7" t="s">
        <v>77</v>
      </c>
      <c r="D97" s="7" t="s">
        <v>77</v>
      </c>
      <c r="E97" s="7"/>
    </row>
    <row r="98" spans="1:5" ht="15" customHeight="1" x14ac:dyDescent="0.25">
      <c r="A98" s="7">
        <v>6</v>
      </c>
      <c r="B98" s="7" t="s">
        <v>27</v>
      </c>
      <c r="C98" s="7" t="s">
        <v>77</v>
      </c>
      <c r="D98" s="7" t="s">
        <v>77</v>
      </c>
      <c r="E98" s="7"/>
    </row>
    <row r="99" spans="1:5" ht="15" customHeight="1" x14ac:dyDescent="0.25">
      <c r="A99" s="7">
        <v>6</v>
      </c>
      <c r="B99" s="7" t="s">
        <v>26</v>
      </c>
      <c r="C99" s="7" t="s">
        <v>77</v>
      </c>
      <c r="D99" s="7" t="s">
        <v>77</v>
      </c>
      <c r="E99" s="7"/>
    </row>
    <row r="100" spans="1:5" ht="15" customHeight="1" x14ac:dyDescent="0.25">
      <c r="A100" s="7">
        <v>6</v>
      </c>
      <c r="B100" s="7" t="s">
        <v>15</v>
      </c>
      <c r="C100" s="7" t="s">
        <v>77</v>
      </c>
      <c r="D100" s="7" t="s">
        <v>77</v>
      </c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tabSelected="1" zoomScaleNormal="100" workbookViewId="0">
      <selection activeCell="G8" sqref="G8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7</v>
      </c>
      <c r="B5" s="7" t="s">
        <v>42</v>
      </c>
      <c r="C5" s="7"/>
      <c r="D5" s="7" t="s">
        <v>105</v>
      </c>
      <c r="E5" s="7"/>
    </row>
    <row r="6" spans="1:5" ht="15" customHeight="1" x14ac:dyDescent="0.25">
      <c r="A6" s="7">
        <v>7</v>
      </c>
      <c r="B6" s="7" t="s">
        <v>32</v>
      </c>
      <c r="C6" s="7"/>
      <c r="D6" s="7" t="s">
        <v>105</v>
      </c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1</v>
      </c>
      <c r="C5" s="5">
        <f>COUNTIFS(Convocations!$B:$B,A5,Convocations!$D:$D,"Oui")</f>
        <v>1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2</v>
      </c>
      <c r="C6" s="5">
        <f>COUNTIFS(Convocations!$B:$B,A6,Convocations!$D:$D,"Oui")</f>
        <v>1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4</v>
      </c>
      <c r="C7" s="5">
        <f>COUNTIFS(Convocations!$B:$B,A7,Convocations!$D:$D,"Oui")</f>
        <v>1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3</v>
      </c>
      <c r="C8" s="5">
        <f>COUNTIFS(Convocations!$B:$B,A8,Convocations!$D:$D,"Oui")</f>
        <v>2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4</v>
      </c>
      <c r="C9" s="5">
        <f>COUNTIFS(Convocations!$B:$B,A9,Convocations!$D:$D,"Oui")</f>
        <v>1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2</v>
      </c>
      <c r="C11" s="5">
        <f>COUNTIFS(Convocations!$B:$B,A11,Convocations!$D:$D,"Oui")</f>
        <v>2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3</v>
      </c>
      <c r="C14" s="5">
        <f>COUNTIFS(Convocations!$B:$B,A14,Convocations!$D:$D,"Oui")</f>
        <v>3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4</v>
      </c>
      <c r="C16" s="5">
        <f>COUNTIFS(Convocations!$B:$B,A16,Convocations!$D:$D,"Oui")</f>
        <v>1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4</v>
      </c>
      <c r="C17" s="5">
        <f>COUNTIFS(Convocations!$B:$B,A17,Convocations!$D:$D,"Oui")</f>
        <v>1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4</v>
      </c>
      <c r="C18" s="5">
        <f>COUNTIFS(Convocations!$B:$B,A18,Convocations!$D:$D,"Oui")</f>
        <v>3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3</v>
      </c>
      <c r="C19" s="5">
        <f>COUNTIFS(Convocations!$B:$B,A19,Convocations!$D:$D,"Oui")</f>
        <v>2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1</v>
      </c>
      <c r="C20" s="5">
        <f>COUNTIFS(Convocations!$B:$B,A20,Convocations!$D:$D,"Oui")</f>
        <v>1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3</v>
      </c>
      <c r="C21" s="5">
        <f>COUNTIFS(Convocations!$B:$B,A21,Convocations!$D:$D,"Oui")</f>
        <v>3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3</v>
      </c>
      <c r="C22" s="5">
        <f>COUNTIFS(Convocations!$B:$B,A22,Convocations!$D:$D,"Oui")</f>
        <v>1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4</v>
      </c>
      <c r="C23" s="5">
        <f>COUNTIFS(Convocations!$B:$B,A23,Convocations!$D:$D,"Oui")</f>
        <v>2</v>
      </c>
      <c r="D23" s="5">
        <f>COUNTIF(Buts!$B:$B,A23)</f>
        <v>1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3</v>
      </c>
      <c r="C26" s="5">
        <f>COUNTIFS(Convocations!$B:$B,A26,Convocations!$D:$D,"Oui")</f>
        <v>1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2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4</v>
      </c>
      <c r="C28" s="5">
        <f>COUNTIFS(Convocations!$B:$B,A28,Convocations!$D:$D,"Oui")</f>
        <v>1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4</v>
      </c>
      <c r="C29" s="5">
        <f>COUNTIFS(Convocations!$B:$B,A29,Convocations!$D:$D,"Oui")</f>
        <v>1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4</v>
      </c>
      <c r="C31" s="5">
        <f>COUNTIFS(Convocations!$B:$B,A31,Convocations!$D:$D,"Oui")</f>
        <v>1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3</v>
      </c>
      <c r="C32" s="5">
        <f>COUNTIFS(Convocations!$B:$B,A32,Convocations!$D:$D,"Oui")</f>
        <v>3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4</v>
      </c>
      <c r="C33" s="5">
        <f>COUNTIFS(Convocations!$B:$B,A33,Convocations!$D:$D,"Oui")</f>
        <v>2</v>
      </c>
      <c r="D33" s="5">
        <f>COUNTIF(Buts!$B:$B,A33)</f>
        <v>1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1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3</v>
      </c>
      <c r="C37" s="5">
        <f>COUNTIFS(Convocations!$B:$B,A37,Convocations!$D:$D,"Oui")</f>
        <v>3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1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4</v>
      </c>
      <c r="C39" s="5">
        <f>COUNTIFS(Convocations!$B:$B,A39,Convocations!$D:$D,"Oui")</f>
        <v>1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3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2026-09-27T13:48:03Z</dcterms:modified>
  <dc:language>en-US</dc:language>
</cp:coreProperties>
</file>